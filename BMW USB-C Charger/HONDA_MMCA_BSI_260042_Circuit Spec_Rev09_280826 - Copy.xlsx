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takiat\OneDrive - Ampas Industries Co.,ltd\Desktop\AI\Benchmark\BMW USB-C Charger\"/>
    </mc:Choice>
  </mc:AlternateContent>
  <bookViews>
    <workbookView xWindow="0" yWindow="0" windowWidth="21600" windowHeight="9636" activeTab="1"/>
  </bookViews>
  <sheets>
    <sheet name="Front Page" sheetId="9" r:id="rId1"/>
    <sheet name="CIRCUIT SPECIFICATION" sheetId="1" r:id="rId2"/>
    <sheet name="Appendix" sheetId="2" r:id="rId3"/>
    <sheet name="ESTIMATE COST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a" localSheetId="0">#REF!</definedName>
    <definedName name="\a">'[1]01重点管理ｴﾘｱ'!#REF!</definedName>
    <definedName name="\b">[2]事務所引越見積書!#REF!</definedName>
    <definedName name="\c">#N/A</definedName>
    <definedName name="\p" localSheetId="0">#N/A</definedName>
    <definedName name="\p">'[1]01重点管理ｴﾘｱ'!#REF!</definedName>
    <definedName name="_" hidden="1">[3]SC4!$B$44:$B$64</definedName>
    <definedName name="_____B888">[0]!_____B888</definedName>
    <definedName name="____B888">[0]!____B888</definedName>
    <definedName name="___B888">[0]!___B888</definedName>
    <definedName name="__123Graph_A" localSheetId="0" hidden="1">'[1]01重点管理ｴﾘｱ'!#REF!</definedName>
    <definedName name="__123Graph_A" hidden="1">'[1]01重点管理ｴﾘｱ'!#REF!</definedName>
    <definedName name="__123Graph_A95内製工場" hidden="1">'[1]01重点管理ｴﾘｱ'!#REF!</definedName>
    <definedName name="__123Graph_A状況" hidden="1">[4]ENG油洩れ!#REF!</definedName>
    <definedName name="__123Graph_B" hidden="1">[5]A!#REF!</definedName>
    <definedName name="__123Graph_X" hidden="1">'[1]01重点管理ｴﾘｱ'!#REF!</definedName>
    <definedName name="__123Graph_X95内製工場" hidden="1">'[1]01重点管理ｴﾘｱ'!#REF!</definedName>
    <definedName name="__123Graph_X状況" hidden="1">[4]ENG油洩れ!#REF!</definedName>
    <definedName name="__B888">[0]!__B888</definedName>
    <definedName name="_10__123Graph_AC04C_ALL_L1" hidden="1">[6]MOTO!#REF!</definedName>
    <definedName name="_10__123Graph_AC04C_FR_L1" hidden="1">[7]MOTO!#REF!</definedName>
    <definedName name="_10__123Graph_AC04C_FR_L2" hidden="1">[8]MOTO!#REF!</definedName>
    <definedName name="_11__123Graph_AC04C_ALL_T2" hidden="1">[6]MOTO!#REF!</definedName>
    <definedName name="_11__123Graph_AC04C_FR_L2" hidden="1">[7]MOTO!#REF!</definedName>
    <definedName name="_11__123Graph_AC04C_FR_T1" hidden="1">[8]MOTO!#REF!</definedName>
    <definedName name="_12__123Graph_AC04C_FR_T1" hidden="1">[7]MOTO!#REF!</definedName>
    <definedName name="_12__123Graph_AC04C_FR_T2" hidden="1">[8]MOTO!#REF!</definedName>
    <definedName name="_13__123Graph_AC04C_ALL_L2" hidden="1">[6]MOTO!#REF!</definedName>
    <definedName name="_13__123Graph_AC04C_FF_L" hidden="1">[6]MOTO!#REF!</definedName>
    <definedName name="_13__123Graph_AC04C_FR_T2" hidden="1">[7]MOTO!#REF!</definedName>
    <definedName name="_13__123Graph_LBL_AC04C_FF_L" hidden="1">[8]MOTO!#REF!</definedName>
    <definedName name="_14__123Graph_LBL_AC04C_FF_L" hidden="1">[7]MOTO!#REF!</definedName>
    <definedName name="_14__123Graph_LBL_AC04C_FF_T" hidden="1">[8]MOTO!#REF!</definedName>
    <definedName name="_15__123Graph_AC04C_FF_T" hidden="1">[6]MOTO!#REF!</definedName>
    <definedName name="_15__123Graph_LBL_AC04C_FF_T" hidden="1">[7]MOTO!#REF!</definedName>
    <definedName name="_15__123Graph_LBL_AC04C_FR_L1" hidden="1">[8]MOTO!#REF!</definedName>
    <definedName name="_16__123Graph_AC04C_ALL_T1" hidden="1">[6]MOTO!#REF!</definedName>
    <definedName name="_16__123Graph_LBL_AC04C_FR_L1" hidden="1">[7]MOTO!#REF!</definedName>
    <definedName name="_16__123Graph_LBL_AC04C_FR_L2" hidden="1">[8]MOTO!#REF!</definedName>
    <definedName name="_17__123Graph_AC04C_FR_L1" hidden="1">[6]MOTO!#REF!</definedName>
    <definedName name="_17__123Graph_LBL_AC04C_FR_L2" hidden="1">[7]MOTO!#REF!</definedName>
    <definedName name="_17__123Graph_LBL_AC04C_FR_T1" hidden="1">[8]MOTO!#REF!</definedName>
    <definedName name="_18__123Graph_LBL_AC04C_FR_T1" hidden="1">[7]MOTO!#REF!</definedName>
    <definedName name="_18__123Graph_LBL_AC04C_FR_T2" hidden="1">[8]MOTO!#REF!</definedName>
    <definedName name="_19__123Graph_AC04C_ALL_T2" hidden="1">[6]MOTO!#REF!</definedName>
    <definedName name="_19__123Graph_AC04C_FR_L2" hidden="1">[6]MOTO!#REF!</definedName>
    <definedName name="_19__123Graph_LBL_AC04C_FR_T2" hidden="1">[7]MOTO!#REF!</definedName>
    <definedName name="_19__123Graph_XC04C_ALL_T1" hidden="1">[8]MOTO!#REF!</definedName>
    <definedName name="_20__123Graph_XC04C_ALL_T1" hidden="1">[7]MOTO!#REF!</definedName>
    <definedName name="_20__123Graph_XC04C_ALL_T2" hidden="1">[8]MOTO!#REF!</definedName>
    <definedName name="_21__123Graph_AC04C_FR_T1" hidden="1">[6]MOTO!#REF!</definedName>
    <definedName name="_21__123Graph_XC04C_ALL_T2" hidden="1">[7]MOTO!#REF!</definedName>
    <definedName name="_21__123Graph_XC04C_FF_L" hidden="1">[8]MOTO!#REF!</definedName>
    <definedName name="_22__123Graph_AC04C_FF_L" hidden="1">[6]MOTO!#REF!</definedName>
    <definedName name="_22__123Graph_XC04C_FF_L" hidden="1">[7]MOTO!#REF!</definedName>
    <definedName name="_22__123Graph_XC04C_FF_T" hidden="1">[8]MOTO!#REF!</definedName>
    <definedName name="_23__123Graph_AC04C_FR_T2" hidden="1">[6]MOTO!#REF!</definedName>
    <definedName name="_23__123Graph_XC04C_FF_T" hidden="1">[7]MOTO!#REF!</definedName>
    <definedName name="_23__123Graph_XC04C_FR_L1" hidden="1">[8]MOTO!#REF!</definedName>
    <definedName name="_24__123Graph_XC04C_FR_L1" hidden="1">[7]MOTO!#REF!</definedName>
    <definedName name="_24__123Graph_XC04C_FR_L2" hidden="1">[8]MOTO!#REF!</definedName>
    <definedName name="_25__123Graph_AC04C_FF_T" hidden="1">[6]MOTO!#REF!</definedName>
    <definedName name="_25__123Graph_LBL_AC04C_FF_L" hidden="1">[6]MOTO!#REF!</definedName>
    <definedName name="_25__123Graph_XC04C_FR_L2" hidden="1">[7]MOTO!#REF!</definedName>
    <definedName name="_25__123Graph_XC04C_FR_T1" hidden="1">[8]MOTO!#REF!</definedName>
    <definedName name="_26__123Graph_XC04C_FR_T1" hidden="1">[7]MOTO!#REF!</definedName>
    <definedName name="_26__123Graph_XC04C_FR_T2" hidden="1">[8]MOTO!#REF!</definedName>
    <definedName name="_27__123Graph_LBL_AC04C_FF_T" hidden="1">[6]MOTO!#REF!</definedName>
    <definedName name="_27__123Graph_XC04C_FR_T2" hidden="1">[7]MOTO!#REF!</definedName>
    <definedName name="_28__123Graph_AC04C_FR_L1" hidden="1">[6]MOTO!#REF!</definedName>
    <definedName name="_29__123Graph_LBL_AC04C_FR_L1" hidden="1">[6]MOTO!#REF!</definedName>
    <definedName name="_2Module1__手段別__.ボタン13_Click">[9]!'[Module1 (手段別)].ボタン13_Click'</definedName>
    <definedName name="_2累積マクロ_.累積マクロ">[0]!_2累積マクロ_.累積マクロ</definedName>
    <definedName name="_3__123Graph_AC04C_ALL_L1" hidden="1">[8]MOTO!#REF!</definedName>
    <definedName name="_31__123Graph_AC04C_FR_L2" hidden="1">[6]MOTO!#REF!</definedName>
    <definedName name="_31__123Graph_LBL_AC04C_FR_L2" hidden="1">[6]MOTO!#REF!</definedName>
    <definedName name="_33__123Graph_LBL_AC04C_FR_T1" hidden="1">[6]MOTO!#REF!</definedName>
    <definedName name="_34__123Graph_AC04C_FR_T1" hidden="1">[6]MOTO!#REF!</definedName>
    <definedName name="_35__123Graph_LBL_AC04C_FR_T2" hidden="1">[6]MOTO!#REF!</definedName>
    <definedName name="_37__123Graph_AC04C_FR_T2" hidden="1">[6]MOTO!#REF!</definedName>
    <definedName name="_37__123Graph_XC04C_ALL_T1" hidden="1">[6]MOTO!#REF!</definedName>
    <definedName name="_39__123Graph_XC04C_ALL_T2" hidden="1">[6]MOTO!#REF!</definedName>
    <definedName name="_3Module1__手段別__.ボタン13_Click">[9]!'[Module1 (手段別)].ボタン13_Click'</definedName>
    <definedName name="_3累積マクロ_.累積マクロ">[0]!_3累積マクロ_.累積マクロ</definedName>
    <definedName name="_4__123Graph_AC04C_ALL_L1" localSheetId="0" hidden="1">[7]MOTO!#REF!</definedName>
    <definedName name="_4__123Graph_AC04C_ALL_L1" hidden="1">[7]MOTO!#REF!</definedName>
    <definedName name="_4__123Graph_AC04C_ALL_L2" hidden="1">[8]MOTO!#REF!</definedName>
    <definedName name="_40__123Graph_LBL_AC04C_FF_L" hidden="1">[6]MOTO!#REF!</definedName>
    <definedName name="_41__123Graph_XC04C_FF_L" hidden="1">[6]MOTO!#REF!</definedName>
    <definedName name="_43__123Graph_LBL_AC04C_FF_T" hidden="1">[6]MOTO!#REF!</definedName>
    <definedName name="_43__123Graph_XC04C_FF_T" hidden="1">[6]MOTO!#REF!</definedName>
    <definedName name="_45__123Graph_XC04C_FR_L1" hidden="1">[6]MOTO!#REF!</definedName>
    <definedName name="_46__123Graph_LBL_AC04C_FR_L1" hidden="1">[6]MOTO!#REF!</definedName>
    <definedName name="_47__123Graph_XC04C_FR_L2" hidden="1">[6]MOTO!#REF!</definedName>
    <definedName name="_49__123Graph_LBL_AC04C_FR_L2" hidden="1">[6]MOTO!#REF!</definedName>
    <definedName name="_49__123Graph_XC04C_FR_T1" hidden="1">[6]MOTO!#REF!</definedName>
    <definedName name="_４Ｓ" localSheetId="0">#REF!</definedName>
    <definedName name="_４Ｓ">#REF!</definedName>
    <definedName name="_4累積マクロ_.累積マクロ">[0]!_4累積マクロ_.累積マクロ</definedName>
    <definedName name="_5__123Graph_AC04C_ALL_L1" localSheetId="0" hidden="1">[6]MOTO!#REF!</definedName>
    <definedName name="_5__123Graph_AC04C_ALL_L1" hidden="1">[6]MOTO!#REF!</definedName>
    <definedName name="_5__123Graph_AC04C_ALL_L2" hidden="1">[7]MOTO!#REF!</definedName>
    <definedName name="_5__123Graph_AC04C_ALL_T1" hidden="1">[8]MOTO!#REF!</definedName>
    <definedName name="_51__123Graph_XC04C_FR_T2" hidden="1">[6]MOTO!#REF!</definedName>
    <definedName name="_52__123Graph_LBL_AC04C_FR_T1" hidden="1">[6]MOTO!#REF!</definedName>
    <definedName name="_55__123Graph_LBL_AC04C_FR_T2" hidden="1">[6]MOTO!#REF!</definedName>
    <definedName name="_58__123Graph_XC04C_ALL_T1" hidden="1">[6]MOTO!#REF!</definedName>
    <definedName name="_5累積マクロ_.累積マクロ">[0]!_5累積マクロ_.累積マクロ</definedName>
    <definedName name="_6__123Graph_AC04C_ALL_T1" localSheetId="0" hidden="1">[7]MOTO!#REF!</definedName>
    <definedName name="_6__123Graph_AC04C_ALL_T1" hidden="1">[7]MOTO!#REF!</definedName>
    <definedName name="_6__123Graph_AC04C_ALL_T2" hidden="1">[8]MOTO!#REF!</definedName>
    <definedName name="_61__123Graph_XC04C_ALL_T2" hidden="1">[6]MOTO!#REF!</definedName>
    <definedName name="_64__123Graph_XC04C_FF_L" hidden="1">[6]MOTO!#REF!</definedName>
    <definedName name="_67__123Graph_XC04C_FF_T" hidden="1">[6]MOTO!#REF!</definedName>
    <definedName name="_6累積マクロ_.累積マクロ">[0]!_6累積マクロ_.累積マクロ</definedName>
    <definedName name="_7__123Graph_AC04C_ALL_L2" localSheetId="0" hidden="1">[6]MOTO!#REF!</definedName>
    <definedName name="_7__123Graph_AC04C_ALL_L2" hidden="1">[6]MOTO!#REF!</definedName>
    <definedName name="_7__123Graph_AC04C_ALL_T2" hidden="1">[7]MOTO!#REF!</definedName>
    <definedName name="_7__123Graph_AC04C_FF_L" hidden="1">[8]MOTO!#REF!</definedName>
    <definedName name="_70__123Graph_XC04C_FR_L1" hidden="1">[6]MOTO!#REF!</definedName>
    <definedName name="_72T内示" localSheetId="0">#REF!</definedName>
    <definedName name="_72T内示">#REF!</definedName>
    <definedName name="_73__123Graph_XC04C_FR_L2" hidden="1">[6]MOTO!#REF!</definedName>
    <definedName name="_76__123Graph_XC04C_FR_T1" hidden="1">[6]MOTO!#REF!</definedName>
    <definedName name="_79__123Graph_XC04C_FR_T2" hidden="1">[6]MOTO!#REF!</definedName>
    <definedName name="_7累積マクロ_.累積マクロ">[0]!_7累積マクロ_.累積マクロ</definedName>
    <definedName name="_8__123Graph_AC04C_FF_L" localSheetId="0" hidden="1">[7]MOTO!#REF!</definedName>
    <definedName name="_8__123Graph_AC04C_FF_L" hidden="1">[7]MOTO!#REF!</definedName>
    <definedName name="_8__123Graph_AC04C_FF_T" hidden="1">[8]MOTO!#REF!</definedName>
    <definedName name="_9__123Graph_AC04C_ALL_T1" hidden="1">[6]MOTO!#REF!</definedName>
    <definedName name="_9__123Graph_AC04C_FF_T" hidden="1">[7]MOTO!#REF!</definedName>
    <definedName name="_9__123Graph_AC04C_FR_L1" hidden="1">[8]MOTO!#REF!</definedName>
    <definedName name="_B888" localSheetId="0">'Front Page'!_B888</definedName>
    <definedName name="_B888">[0]!_B888</definedName>
    <definedName name="_Dist_Bin" localSheetId="0" hidden="1">[4]ENG油洩れ!#REF!</definedName>
    <definedName name="_Dist_Bin" hidden="1">[4]ENG油洩れ!#REF!</definedName>
    <definedName name="_Fill" localSheetId="0" hidden="1">#REF!</definedName>
    <definedName name="_Fill" hidden="1">#REF!</definedName>
    <definedName name="_xlnm._FilterDatabase" localSheetId="3" hidden="1">'ESTIMATE COST'!$Q$8:$T$46</definedName>
    <definedName name="_Key1" localSheetId="0" hidden="1">'[1]01重点管理ｴﾘｱ'!#REF!</definedName>
    <definedName name="_Key1" hidden="1">'[1]01重点管理ｴﾘｱ'!#REF!</definedName>
    <definedName name="_n1" localSheetId="0">#REF!</definedName>
    <definedName name="_n1">#REF!</definedName>
    <definedName name="_n2" localSheetId="0">#REF!</definedName>
    <definedName name="_n2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a" localSheetId="0">'Front Page'!aa</definedName>
    <definedName name="aa">[0]!aa</definedName>
    <definedName name="aaa" localSheetId="0">'Front Page'!aaa</definedName>
    <definedName name="aaa">[0]!aaa</definedName>
    <definedName name="AAAAAA" localSheetId="0">'Front Page'!AAAAAA</definedName>
    <definedName name="AAAAAA">[0]!AAAAAA</definedName>
    <definedName name="AM" localSheetId="0">#REF!</definedName>
    <definedName name="AM">#REF!</definedName>
    <definedName name="Arial">#REF!</definedName>
    <definedName name="Ａｓｓｙ" localSheetId="0">#REF!</definedName>
    <definedName name="Ａｓｓｙ">#REF!</definedName>
    <definedName name="Auditor">'[10]set date'!$B$5:$G$29</definedName>
    <definedName name="b">[11]納入総括!#REF!</definedName>
    <definedName name="BBB" localSheetId="0">'Front Page'!BBB</definedName>
    <definedName name="BBB">[0]!BBB</definedName>
    <definedName name="BM_XRateEdit" localSheetId="0">[12]!BM_XRateEdit</definedName>
    <definedName name="BM_XRateEdit">[13]!BM_XRateEdit</definedName>
    <definedName name="carmaker">[14]Titel!$B$8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ompany_name" localSheetId="0">#REF!</definedName>
    <definedName name="company_name">#REF!</definedName>
    <definedName name="CS000266_QRY" localSheetId="0">#REF!</definedName>
    <definedName name="CS000266_QRY">#REF!</definedName>
    <definedName name="currency">[14]Hyp!$C$27</definedName>
    <definedName name="d">[11]納入総括!#REF!</definedName>
    <definedName name="ｄｄ" localSheetId="0">'Front Page'!ｄｄ</definedName>
    <definedName name="ｄｄ">[0]!ｄｄ</definedName>
    <definedName name="DESIGN_FACE">#REF!</definedName>
    <definedName name="deta10" localSheetId="0">#REF!</definedName>
    <definedName name="deta10">#REF!</definedName>
    <definedName name="DUMMY_A5">#REF!</definedName>
    <definedName name="E" localSheetId="0">#REF!</definedName>
    <definedName name="E">#REF!</definedName>
    <definedName name="ENG">#REF!</definedName>
    <definedName name="ｆ" localSheetId="0">'Front Page'!ｆ</definedName>
    <definedName name="ｆ">[0]!ｆ</definedName>
    <definedName name="fdwa" localSheetId="0" hidden="1">'[1]01重点管理ｴﾘｱ'!#REF!</definedName>
    <definedName name="fdwa" hidden="1">'[1]01重点管理ｴﾘｱ'!#REF!</definedName>
    <definedName name="ｆｆ" localSheetId="0">'Front Page'!ｆｆ</definedName>
    <definedName name="ｆｆ">[0]!ｆｆ</definedName>
    <definedName name="ｆｆｆｆｆ" localSheetId="0">'Front Page'!ｆｆｆｆｆ</definedName>
    <definedName name="ｆｆｆｆｆ">[0]!ｆｆｆｆｆ</definedName>
    <definedName name="fgdh">[2]事務所引越見積書!#REF!</definedName>
    <definedName name="Focus">[15]Feuil1!$A$1:$A$21</definedName>
    <definedName name="ｇ" localSheetId="0">'Front Page'!ｇ</definedName>
    <definedName name="ｇ">[0]!ｇ</definedName>
    <definedName name="gdfgdfgdfger" localSheetId="0" hidden="1">'[1]01重点管理ｴﾘｱ'!#REF!</definedName>
    <definedName name="gdfgdfgdfger" hidden="1">'[1]01重点管理ｴﾘｱ'!#REF!</definedName>
    <definedName name="gkgkg">'[1]01重点管理ｴﾘｱ'!#REF!</definedName>
    <definedName name="GRAIN">#REF!</definedName>
    <definedName name="GRILLE_RAD">#REF!</definedName>
    <definedName name="grte" hidden="1">'[1]01重点管理ｴﾘｱ'!#REF!</definedName>
    <definedName name="HF1_HARN">#N/A</definedName>
    <definedName name="ｈｈ" localSheetId="0">'Front Page'!ｈｈ</definedName>
    <definedName name="ｈｈ">[0]!ｈｈ</definedName>
    <definedName name="ｈｈｈ" localSheetId="0">'Front Page'!ｈｈｈ</definedName>
    <definedName name="ｈｈｈ">[0]!ｈｈｈ</definedName>
    <definedName name="ｈｊｈｊ" localSheetId="0">#REF!</definedName>
    <definedName name="ｈｊｈｊ">#REF!</definedName>
    <definedName name="ｈｊｈｊｊｊ" localSheetId="0">#REF!</definedName>
    <definedName name="ｈｊｈｊｊｊ">#REF!</definedName>
    <definedName name="ｈｊｊｊｈｇｈｇｈｇ" localSheetId="0">#REF!</definedName>
    <definedName name="ｈｊｊｊｈｇｈｇｈｇ">#REF!</definedName>
    <definedName name="k">'[1]01重点管理ｴﾘｱ'!#REF!</definedName>
    <definedName name="kk">'[1]01重点管理ｴﾘｱ'!#REF!</definedName>
    <definedName name="L" localSheetId="0" hidden="1">#REF!</definedName>
    <definedName name="L" hidden="1">#REF!</definedName>
    <definedName name="List_division" localSheetId="0">[16]List_data!$A$2:$A$10</definedName>
    <definedName name="List_division">[17]List_data!$A$2:$A$10</definedName>
    <definedName name="List_Feedback" localSheetId="0">[16]List_data!$W$2:$W$4</definedName>
    <definedName name="List_Feedback">[17]List_data!$W$2:$W$4</definedName>
    <definedName name="List_hand" localSheetId="0">[16]List_data!$E$2:$E$3</definedName>
    <definedName name="List_hand">[17]List_data!$E$2:$E$3</definedName>
    <definedName name="List_Imp" localSheetId="0">[16]List_data!$G$2:$G$5</definedName>
    <definedName name="List_Imp">[17]List_data!$G$2:$G$5</definedName>
    <definedName name="List_InvesTool" localSheetId="0">[16]List_data!$U$2:$U$8</definedName>
    <definedName name="List_InvesTool">[17]List_data!$U$2:$U$8</definedName>
    <definedName name="List_PrimaryFactor" localSheetId="0">[16]List_data!$S$2:$S$14</definedName>
    <definedName name="List_PrimaryFactor">[17]List_data!$S$2:$S$14</definedName>
    <definedName name="List_rank" localSheetId="0">[16]List_data!$C$2:$C$6</definedName>
    <definedName name="List_rank">[17]List_data!$C$2:$C$6</definedName>
    <definedName name="List_SEA" localSheetId="0">[16]List_data!$M$2:$M$5</definedName>
    <definedName name="List_SEA">[17]List_data!$M$2:$M$5</definedName>
    <definedName name="List_SEB" localSheetId="0">[16]List_data!$O$2:$O$6</definedName>
    <definedName name="List_SEB">[17]List_data!$O$2:$O$6</definedName>
    <definedName name="List_SEC" localSheetId="0">[16]List_data!$Q$2:$Q$10</definedName>
    <definedName name="List_SEC">[17]List_data!$Q$2:$Q$10</definedName>
    <definedName name="List_Tool" localSheetId="0">[16]List_data!$K$2:$K$8</definedName>
    <definedName name="List_Tool">[17]List_data!$K$2:$K$8</definedName>
    <definedName name="List_Urg" localSheetId="0">[16]List_data!$I$2:$I$7</definedName>
    <definedName name="List_Urg">[17]List_data!$I$2:$I$7</definedName>
    <definedName name="ＬＫＬ">[18]square1!$A$1:$O$223</definedName>
    <definedName name="Mgr">[14]Titel!$E$20</definedName>
    <definedName name="N_BPS構築" localSheetId="0">#REF!</definedName>
    <definedName name="N_BPS構築">#REF!</definedName>
    <definedName name="N_BPS構築_その他" localSheetId="0">#REF!</definedName>
    <definedName name="N_BPS構築_その他">#REF!</definedName>
    <definedName name="N_BPS構築_パラメトリック設計" localSheetId="0">#REF!</definedName>
    <definedName name="N_BPS構築_パラメトリック設計">#REF!</definedName>
    <definedName name="N_BPS構築_性能マニュアル入力・修正" localSheetId="0">#REF!</definedName>
    <definedName name="N_BPS構築_性能マニュアル入力・修正">#REF!</definedName>
    <definedName name="N_BPS構築_過去トラ入力・修正" localSheetId="0">#REF!</definedName>
    <definedName name="N_BPS構築_過去トラ入力・修正">#REF!</definedName>
    <definedName name="NAIYOU" localSheetId="0">[19]X03HPW!#REF!</definedName>
    <definedName name="NAIYOU">[20]X03HPW!#REF!</definedName>
    <definedName name="NC_PARTCOMB">#REF!</definedName>
    <definedName name="No">#REF!</definedName>
    <definedName name="p" localSheetId="0">'Front Page'!p</definedName>
    <definedName name="p">[0]!p</definedName>
    <definedName name="PANEL_INST">#REF!</definedName>
    <definedName name="PART_GRILLE">#REF!</definedName>
    <definedName name="PARTCOMB">#REF!</definedName>
    <definedName name="PARTING">#REF!</definedName>
    <definedName name="PM" localSheetId="0">#REF!</definedName>
    <definedName name="PM">#REF!</definedName>
    <definedName name="POr20c48r74c65RTRT" localSheetId="0">[11]納入総括!#REF!</definedName>
    <definedName name="POr20c48r74c65RTRT">[21]納入総括!#REF!</definedName>
    <definedName name="_xlnm.Print_Area" localSheetId="2">Appendix!$A$1:$O$106</definedName>
    <definedName name="_xlnm.Print_Area" localSheetId="1">'CIRCUIT SPECIFICATION'!$A$1:$O$134</definedName>
    <definedName name="_xlnm.Print_Area" localSheetId="3">'ESTIMATE COST'!$A$1:$U$62</definedName>
    <definedName name="_xlnm.Print_Area" localSheetId="0">'Front Page'!$A$1:$Q$58</definedName>
    <definedName name="_xlnm.Print_Area">#REF!</definedName>
    <definedName name="PRINT_AREA_MI">#REF!</definedName>
    <definedName name="_xlnm.Print_Titles">'[8]Europe PU-1'!$A$1:$IV$11</definedName>
    <definedName name="printarea" localSheetId="0">#REF!</definedName>
    <definedName name="printarea">#REF!</definedName>
    <definedName name="program">[14]Titel!$B$9</definedName>
    <definedName name="Q" localSheetId="0" hidden="1">#REF!</definedName>
    <definedName name="Q" hidden="1">#REF!</definedName>
    <definedName name="Record1">[22]!Record1</definedName>
    <definedName name="Record2">[22]!Record2</definedName>
    <definedName name="Record3">[22]!Record3</definedName>
    <definedName name="Record4" localSheetId="0">[23]!Record4</definedName>
    <definedName name="Record4">[24]!Record4</definedName>
    <definedName name="Record5" localSheetId="0">[23]!Record5</definedName>
    <definedName name="Record5">[24]!Record5</definedName>
    <definedName name="RF0">#REF!</definedName>
    <definedName name="RFQ対応" localSheetId="0">#REF!</definedName>
    <definedName name="RFQ対応">#REF!</definedName>
    <definedName name="RFQ対応_VE検討" localSheetId="0">#REF!</definedName>
    <definedName name="RFQ対応_VE検討">#REF!</definedName>
    <definedName name="RFQ対応_その他" localSheetId="0">#REF!</definedName>
    <definedName name="RFQ対応_その他">#REF!</definedName>
    <definedName name="RFQ対応_プレゼンテーション_特定車種" localSheetId="0">#REF!</definedName>
    <definedName name="RFQ対応_プレゼンテーション_特定車種">#REF!</definedName>
    <definedName name="RFQ対応_ベンチマーク" localSheetId="0">#REF!</definedName>
    <definedName name="RFQ対応_ベンチマーク">#REF!</definedName>
    <definedName name="RFQ対応_出張の移動時間" localSheetId="0">#REF!</definedName>
    <definedName name="RFQ対応_出張の移動時間">#REF!</definedName>
    <definedName name="RFQ対応_図面作成" localSheetId="0">#REF!</definedName>
    <definedName name="RFQ対応_図面作成">#REF!</definedName>
    <definedName name="RFQ対応_報告書作成" localSheetId="0">#REF!</definedName>
    <definedName name="RFQ対応_報告書作成">#REF!</definedName>
    <definedName name="RFQ対応_打合せ・会議" localSheetId="0">#REF!</definedName>
    <definedName name="RFQ対応_打合せ・会議">#REF!</definedName>
    <definedName name="RJ0">#REF!</definedName>
    <definedName name="ROOP1">#REF!</definedName>
    <definedName name="ｓ" localSheetId="0">'Front Page'!ｓ</definedName>
    <definedName name="ｓ">[0]!ｓ</definedName>
    <definedName name="S_GRAVITY">#REF!</definedName>
    <definedName name="sd" localSheetId="0" hidden="1">'[1]01重点管理ｴﾘｱ'!#REF!</definedName>
    <definedName name="sd" hidden="1">'[1]01重点管理ｴﾘｱ'!#REF!</definedName>
    <definedName name="sop">[14]Titel!$C$10</definedName>
    <definedName name="SPEC_P">#REF!</definedName>
    <definedName name="ss">[13]!BM_XRateEdit</definedName>
    <definedName name="SYMMETRY">#REF!</definedName>
    <definedName name="syudan" localSheetId="0">[9]date!#REF!</definedName>
    <definedName name="syudan">[9]date!#REF!</definedName>
    <definedName name="TOLERANCE">#REF!</definedName>
    <definedName name="tt" hidden="1">[6]MOTO!#REF!</definedName>
    <definedName name="ｔｙｔｙ" localSheetId="0">#REF!</definedName>
    <definedName name="ｔｙｔｙ">#REF!</definedName>
    <definedName name="wrn.BATCH." localSheetId="0" hidden="1">{#N/A,#N/A,FALSE,"V-NOTCH FLOW"}</definedName>
    <definedName name="wrn.BATCH." hidden="1">{#N/A,#N/A,FALSE,"V-NOTCH FLOW"}</definedName>
    <definedName name="wrn.CONT." localSheetId="0" hidden="1">{#N/A,#N/A,FALSE,"V-NOTCH FLOW"}</definedName>
    <definedName name="wrn.CONT." hidden="1">{#N/A,#N/A,FALSE,"V-NOTCH FLOW"}</definedName>
    <definedName name="ww">#REF!</definedName>
    <definedName name="YTTUTY" hidden="1">'[1]01重点管理ｴﾘｱ'!#REF!</definedName>
    <definedName name="あ" localSheetId="0">#REF!</definedName>
    <definedName name="あ">#REF!</definedName>
    <definedName name="ああ">'[25]Feuil1 (日本語）'!$A$1:$A$21</definedName>
    <definedName name="あああ" localSheetId="0">'Front Page'!あああ</definedName>
    <definedName name="あああ">[0]!あああ</definedName>
    <definedName name="あああああ" localSheetId="0">[26]!選択_B517</definedName>
    <definedName name="あああああ">[27]!選択_B517</definedName>
    <definedName name="イベント" localSheetId="0">#REF!</definedName>
    <definedName name="イベント">#REF!</definedName>
    <definedName name="キャブ">#REF!</definedName>
    <definedName name="ご" localSheetId="0">'Front Page'!ご</definedName>
    <definedName name="ご">[0]!ご</definedName>
    <definedName name="コピー" localSheetId="0">#REF!,#REF!,#REF!,#REF!,#REF!,#REF!,#REF!,#REF!,#REF!,#REF!,#REF!,#REF!,#REF!,#REF!,#REF!,#REF!,#REF!,#REF!</definedName>
    <definedName name="コピー">#REF!,#REF!,#REF!,#REF!,#REF!,#REF!,#REF!,#REF!,#REF!,#REF!,#REF!,#REF!,#REF!,#REF!,#REF!,#REF!,#REF!,#REF!</definedName>
    <definedName name="コメント">#REF!</definedName>
    <definedName name="ｼｰﾙ工法">[28]ﾄﾞﾛｯﾌﾟﾀﾞｳﾝLIST!$J$4:$J$20</definedName>
    <definedName name="スケジュール" localSheetId="0">[29]!Record3</definedName>
    <definedName name="スケジュール">[30]!Record3</definedName>
    <definedName name="その他" localSheetId="0">#REF!</definedName>
    <definedName name="その他">#REF!</definedName>
    <definedName name="その他_その他" localSheetId="0">#REF!</definedName>
    <definedName name="その他_その他">#REF!</definedName>
    <definedName name="その他_依頼・問合せの調査･検討と回答" localSheetId="0">#REF!</definedName>
    <definedName name="その他_依頼・問合せの調査･検討と回答">#REF!</definedName>
    <definedName name="その他_報告書作成" localSheetId="0">#REF!</definedName>
    <definedName name="その他_報告書作成">#REF!</definedName>
    <definedName name="その他_得意先打合せ" localSheetId="0">#REF!</definedName>
    <definedName name="その他_得意先打合せ">#REF!</definedName>
    <definedName name="その他_提案書作成" localSheetId="0">#REF!</definedName>
    <definedName name="その他_提案書作成">#REF!</definedName>
    <definedName name="その他_日程管理" localSheetId="0">#REF!</definedName>
    <definedName name="その他_日程管理">#REF!</definedName>
    <definedName name="その他_相談・指導" localSheetId="0">#REF!</definedName>
    <definedName name="その他_相談・指導">#REF!</definedName>
    <definedName name="その他_社内打合せ・会議" localSheetId="0">#REF!</definedName>
    <definedName name="その他_社内打合せ・会議">#REF!</definedName>
    <definedName name="その他_資料作成" localSheetId="0">#REF!</definedName>
    <definedName name="その他_資料作成">#REF!</definedName>
    <definedName name="その他_部・課内会議" localSheetId="0">#REF!</definedName>
    <definedName name="その他_部・課内会議">#REF!</definedName>
    <definedName name="ﾀｲﾌﾟ">[28]ﾄﾞﾛｯﾌﾟﾀﾞｳﾝLIST!$I$4:$I$28</definedName>
    <definedName name="たちあがり">#REF!</definedName>
    <definedName name="っっっっｓ" localSheetId="0">#REF!</definedName>
    <definedName name="っっっっｓ">#REF!</definedName>
    <definedName name="データ" localSheetId="0">[31]日産均等!$F$10:$K$15,[31]日産均等!$F$17:$K$20,[31]日産均等!$F$22:$K$25,[31]日産均等!$F$27:$K$30,[31]日産均等!$F$32:$K$34,[31]日産均等!$F$36:$K$36,[31]日産均等!$F$39:$K$41</definedName>
    <definedName name="データ">[32]日産均等!$F$10:$K$15,[32]日産均等!$F$17:$K$20,[32]日産均等!$F$22:$K$25,[32]日産均等!$F$27:$K$30,[32]日産均等!$F$32:$K$34,[32]日産均等!$F$36:$K$36,[32]日産均等!$F$39:$K$41</definedName>
    <definedName name="データ１０月" localSheetId="0">#REF!</definedName>
    <definedName name="データ１０月">#REF!</definedName>
    <definedName name="デｰタ年月" localSheetId="0">'Front Page'!デｰタ年月</definedName>
    <definedName name="デｰタ年月">[0]!デｰタ年月</definedName>
    <definedName name="ﾊﾟｲﾌﾟ">[33]ﾊﾟｲﾌﾟ!$A$1:$B$65536</definedName>
    <definedName name="ふｈ" localSheetId="0">#REF!</definedName>
    <definedName name="ふｈ">#REF!</definedName>
    <definedName name="モード">[28]ﾄﾞﾛｯﾌﾟﾀﾞｳﾝLIST!$B$4:$B$6</definedName>
    <definedName name="ランプ名" localSheetId="0">#REF!</definedName>
    <definedName name="ランプ名">#REF!</definedName>
    <definedName name="ﾘｰﾀﾞｰ名" localSheetId="0">#REF!</definedName>
    <definedName name="ﾘｰﾀﾞｰ名">#REF!</definedName>
    <definedName name="レベル2">[34]設計業務!$K$7:$K$23</definedName>
    <definedName name="レンズガタ" localSheetId="0">#REF!</definedName>
    <definedName name="レンズガタ">#REF!</definedName>
    <definedName name="レンズ傾き" localSheetId="0">#REF!</definedName>
    <definedName name="レンズ傾き">#REF!</definedName>
    <definedName name="一・二課" localSheetId="0">[35]リスト!#REF!</definedName>
    <definedName name="一・二課">[35]リスト!#REF!</definedName>
    <definedName name="下期" localSheetId="0">#REF!</definedName>
    <definedName name="下期">#REF!</definedName>
    <definedName name="下期純売" localSheetId="0">#REF!</definedName>
    <definedName name="下期純売">#REF!</definedName>
    <definedName name="不具合現象又は依頼項目">#REF!</definedName>
    <definedName name="不慣れ" localSheetId="0">[17]外注納不!$AB$36</definedName>
    <definedName name="不慣れ">[36]外注納不!$AB$36</definedName>
    <definedName name="不灯" localSheetId="0">#REF!</definedName>
    <definedName name="不灯">#REF!</definedName>
    <definedName name="不良区分" localSheetId="0">[32]不良ﾃﾞｰﾀ資料!$I$2:$I$7</definedName>
    <definedName name="不良区分">[11]不良ﾃﾞｰﾀ資料!$I$2:$I$7</definedName>
    <definedName name="丸" localSheetId="0">[32]不良ﾃﾞｰﾀ資料!$G$2:$G$4</definedName>
    <definedName name="丸">[11]不良ﾃﾞｰﾀ資料!$G$2:$G$4</definedName>
    <definedName name="二課" localSheetId="0">[35]リスト!#REF!</definedName>
    <definedName name="二課">[35]リスト!#REF!</definedName>
    <definedName name="仕向地" localSheetId="0">#REF!</definedName>
    <definedName name="仕向地">#REF!</definedName>
    <definedName name="他材料費">[33]他材料費!$A$1:$B$65536</definedName>
    <definedName name="企画" localSheetId="0">#REF!</definedName>
    <definedName name="企画">#REF!</definedName>
    <definedName name="企画_その他" localSheetId="0">#REF!</definedName>
    <definedName name="企画_その他">#REF!</definedName>
    <definedName name="企画_プレゼンテーション_全般" localSheetId="0">#REF!</definedName>
    <definedName name="企画_プレゼンテーション_全般">#REF!</definedName>
    <definedName name="企画_ベンチマーク" localSheetId="0">#REF!</definedName>
    <definedName name="企画_ベンチマーク">#REF!</definedName>
    <definedName name="企画_モーターショー" localSheetId="0">#REF!</definedName>
    <definedName name="企画_モーターショー">#REF!</definedName>
    <definedName name="企画_他社製品評価" localSheetId="0">#REF!</definedName>
    <definedName name="企画_他社製品評価">#REF!</definedName>
    <definedName name="企画_外部展示会企画" localSheetId="0">#REF!</definedName>
    <definedName name="企画_外部展示会企画">#REF!</definedName>
    <definedName name="企画_調査" localSheetId="0">#REF!</definedName>
    <definedName name="企画_調査">#REF!</definedName>
    <definedName name="休暇_選択_変動" localSheetId="0">#REF!</definedName>
    <definedName name="休暇_選択_変動">#REF!</definedName>
    <definedName name="休暇・選択・変動" localSheetId="0">#REF!</definedName>
    <definedName name="休暇・選択・変動">#REF!</definedName>
    <definedName name="作動不良" localSheetId="0">#REF!</definedName>
    <definedName name="作動不良">#REF!</definedName>
    <definedName name="作動直進性" localSheetId="0">#REF!</definedName>
    <definedName name="作動直進性">#REF!</definedName>
    <definedName name="供試品１" localSheetId="0">#REF!</definedName>
    <definedName name="供試品１">#REF!</definedName>
    <definedName name="供試品２" localSheetId="0">#REF!</definedName>
    <definedName name="供試品２">#REF!</definedName>
    <definedName name="供試品３" localSheetId="0">#REF!</definedName>
    <definedName name="供試品３">#REF!</definedName>
    <definedName name="供試品４" localSheetId="0">#REF!</definedName>
    <definedName name="供試品４">#REF!</definedName>
    <definedName name="光設" localSheetId="0">[35]リスト!#REF!</definedName>
    <definedName name="光設">[35]リスト!#REF!</definedName>
    <definedName name="光軸ぶれ" localSheetId="0">#REF!</definedName>
    <definedName name="光軸ぶれ">#REF!</definedName>
    <definedName name="冷延ﾊﾟｲﾌﾟ">[33]ﾊﾟｲﾌﾟ!$A$1:$B$65536</definedName>
    <definedName name="冷延ﾊﾟｲﾌﾟ径ｴｷｽﾄﾗ">[33]ﾊﾟｲﾌﾟ!$H$1:$I$65536</definedName>
    <definedName name="冷延ﾊﾟｲﾌﾟ板厚ｴｷｽﾄﾗ">[33]ﾊﾟｲﾌﾟ!$C$1:$G$65536</definedName>
    <definedName name="冷延板厚ｴｷｽﾄﾗ">[33]冷延鋼板!$C$1:$G$65536</definedName>
    <definedName name="冷延鋼板">[33]冷延鋼板!$A$1:$B$65536</definedName>
    <definedName name="動き" localSheetId="0">#REF!</definedName>
    <definedName name="動き">#REF!</definedName>
    <definedName name="区分" localSheetId="0">#REF!</definedName>
    <definedName name="区分">#REF!</definedName>
    <definedName name="半期" localSheetId="0">[37]日産呼称DATA!$O$5:$P$40</definedName>
    <definedName name="半期">[38]日産呼称DATA!$O$5:$P$40</definedName>
    <definedName name="印刷" localSheetId="0">[20]!印刷</definedName>
    <definedName name="印刷">[39]!印刷</definedName>
    <definedName name="印刷1" localSheetId="0">[39]!印刷1</definedName>
    <definedName name="印刷1">[23]!印刷1</definedName>
    <definedName name="印刷範囲">#REF!</definedName>
    <definedName name="原因" localSheetId="0">#REF!</definedName>
    <definedName name="原因">#REF!</definedName>
    <definedName name="原因内容" localSheetId="0">[37]日産呼称DATA!$R$5:$S$41</definedName>
    <definedName name="原因内容">[38]日産呼称DATA!$R$5:$S$41</definedName>
    <definedName name="各種委員業務" localSheetId="0">[40]一・二課!#REF!</definedName>
    <definedName name="各種委員業務">[40]一・二課!#REF!</definedName>
    <definedName name="品質改善活動全体" localSheetId="0">#REF!</definedName>
    <definedName name="品質改善活動全体">#REF!</definedName>
    <definedName name="問題点区分・商品性">[41]ﾄﾞﾛｯﾌﾟﾀﾞｳﾝLIST!$N$4:$N$15</definedName>
    <definedName name="問題点区分・得意先設変">[41]ﾄﾞﾛｯﾌﾟﾀﾞｳﾝLIST!$R$4:$R$10</definedName>
    <definedName name="問題点区分・性能">[41]ﾄﾞﾛｯﾌﾟﾀﾞｳﾝLIST!$K$4:$K$37</definedName>
    <definedName name="問題点区分・成形・金型">[41]ﾄﾞﾛｯﾌﾟﾀﾞｳﾝLIST!$O$4:$O$20</definedName>
    <definedName name="問題点区分・生産性">[41]ﾄﾞﾛｯﾌﾟﾀﾞｳﾝLIST!$L$4:$L$10</definedName>
    <definedName name="問題点区分・組立">[41]ﾄﾞﾛｯﾌﾟﾀﾞｳﾝLIST!$Q$4:$Q$20</definedName>
    <definedName name="問題点区分・表面処理">[41]ﾄﾞﾛｯﾌﾟﾀﾞｳﾝLIST!$P$4:$P$20</definedName>
    <definedName name="問題点区分・設計ﾐｽ">[41]ﾄﾞﾛｯﾌﾟﾀﾞｳﾝLIST!$S$4:$S$10</definedName>
    <definedName name="問題点区分・金型">[41]ﾄﾞﾛｯﾌﾟﾀﾞｳﾝLIST!$M$4:$M$10</definedName>
    <definedName name="回" localSheetId="0">'Front Page'!回</definedName>
    <definedName name="回">[0]!回</definedName>
    <definedName name="回収品" localSheetId="0">'Front Page'!回収品</definedName>
    <definedName name="回収品">[0]!回収品</definedName>
    <definedName name="回覧・メールチェック" localSheetId="0">#REF!</definedName>
    <definedName name="回覧・メールチェック">#REF!</definedName>
    <definedName name="変更" localSheetId="0">'Front Page'!変更</definedName>
    <definedName name="変更">[0]!変更</definedName>
    <definedName name="変更概要書" localSheetId="0" hidden="1">[42]ENG油洩れ!#REF!</definedName>
    <definedName name="変更概要書" hidden="1">[42]ENG油洩れ!#REF!</definedName>
    <definedName name="大分類" localSheetId="0">[40]一・二課!#REF!</definedName>
    <definedName name="大分類">[40]一・二課!#REF!</definedName>
    <definedName name="宛先" localSheetId="0">#REF!</definedName>
    <definedName name="宛先">#REF!</definedName>
    <definedName name="対応">#REF!</definedName>
    <definedName name="対策区分" localSheetId="0">#REF!</definedName>
    <definedName name="対策区分">#REF!</definedName>
    <definedName name="対策書" localSheetId="0">#REF!</definedName>
    <definedName name="対策書">#REF!</definedName>
    <definedName name="工場" localSheetId="0">[32]不良ﾃﾞｰﾀ資料!$D$2:$D$29</definedName>
    <definedName name="工場">[11]不良ﾃﾞｰﾀ資料!$D$2:$D$29</definedName>
    <definedName name="市場クレーム対応" localSheetId="0">#REF!</definedName>
    <definedName name="市場クレーム対応">#REF!</definedName>
    <definedName name="市場クレーム対応_サンプル作製" localSheetId="0">#REF!</definedName>
    <definedName name="市場クレーム対応_サンプル作製">#REF!</definedName>
    <definedName name="市場クレーム対応_その他" localSheetId="0">#REF!</definedName>
    <definedName name="市場クレーム対応_その他">#REF!</definedName>
    <definedName name="市場クレーム対応_依頼・問合せの検討と回答" localSheetId="0">#REF!</definedName>
    <definedName name="市場クレーム対応_依頼・問合せの検討と回答">#REF!</definedName>
    <definedName name="市場クレーム対応_依頼書作成" localSheetId="0">#REF!</definedName>
    <definedName name="市場クレーム対応_依頼書作成">#REF!</definedName>
    <definedName name="市場クレーム対応_報告書" localSheetId="0">#REF!</definedName>
    <definedName name="市場クレーム対応_報告書">#REF!</definedName>
    <definedName name="市場クレーム対応_打合せ・会議" localSheetId="0">#REF!</definedName>
    <definedName name="市場クレーム対応_打合せ・会議">#REF!</definedName>
    <definedName name="市場クレーム対応_調査" localSheetId="0">#REF!</definedName>
    <definedName name="市場クレーム対応_調査">#REF!</definedName>
    <definedName name="帳票Ｘ" localSheetId="0">[43]!選択_D510</definedName>
    <definedName name="帳票Ｘ">[44]!選択_D510</definedName>
    <definedName name="式" localSheetId="0">[31]日産均等!$E$16:$K$16,[31]日産均等!$E$21:$K$21,[31]日産均等!$E$26:$K$26,[31]日産均等!$E$31:$K$31,[31]日産均等!$E$35:$K$35,[31]日産均等!$E$37:$K$38,[31]日産均等!$E$42:$K$42,[31]日産均等!$L$10:$M$42</definedName>
    <definedName name="式">[32]日産均等!$E$16:$K$16,[32]日産均等!$E$21:$K$21,[32]日産均等!$E$26:$K$26,[32]日産均等!$E$31:$K$31,[32]日産均等!$E$35:$K$35,[32]日産均等!$E$37:$K$38,[32]日産均等!$E$42:$K$42,[32]日産均等!$L$10:$M$42</definedName>
    <definedName name="得">'[45]7'!$E$12:$E$18,'[45]7'!$E$20:$E$24,'[45]7'!$E$26:$E$29,'[45]7'!$E$31:$E$36,'[45]7'!$E$38:$E$40,'[45]7'!$E$42</definedName>
    <definedName name="得意先">[28]ﾄﾞﾛｯﾌﾟﾀﾞｳﾝLIST!$F$4:$F$20</definedName>
    <definedName name="得意先ＰＤ" localSheetId="0">#REF!</definedName>
    <definedName name="得意先ＰＤ">#REF!</definedName>
    <definedName name="得意先派遣" localSheetId="0">#REF!</definedName>
    <definedName name="得意先派遣">#REF!</definedName>
    <definedName name="得意先派遣_市光派遣者へのサポート" localSheetId="0">#REF!</definedName>
    <definedName name="得意先派遣_市光派遣者へのサポート">#REF!</definedName>
    <definedName name="得意先派遣_得意先打合せ" localSheetId="0">#REF!</definedName>
    <definedName name="得意先派遣_得意先打合せ">#REF!</definedName>
    <definedName name="得意先派遣_得意先派遣" localSheetId="0">#REF!</definedName>
    <definedName name="得意先派遣_得意先派遣">#REF!</definedName>
    <definedName name="得意先設変" localSheetId="0">#REF!</definedName>
    <definedName name="得意先設変">#REF!</definedName>
    <definedName name="得意先設変_３Ｄモデル作成" localSheetId="0">#REF!</definedName>
    <definedName name="得意先設変_３Ｄモデル作成">#REF!</definedName>
    <definedName name="得意先設変_ＤＲ" localSheetId="0">#REF!</definedName>
    <definedName name="得意先設変_ＤＲ">#REF!</definedName>
    <definedName name="得意先設変_その他" localSheetId="0">#REF!</definedName>
    <definedName name="得意先設変_その他">#REF!</definedName>
    <definedName name="得意先設変_依頼書作成" localSheetId="0">#REF!</definedName>
    <definedName name="得意先設変_依頼書作成">#REF!</definedName>
    <definedName name="得意先設変_図面作成" localSheetId="0">#REF!</definedName>
    <definedName name="得意先設変_図面作成">#REF!</definedName>
    <definedName name="得意先設変_報告書" localSheetId="0">#REF!</definedName>
    <definedName name="得意先設変_報告書">#REF!</definedName>
    <definedName name="得意先設変_打合せ・会議" localSheetId="0">#REF!</definedName>
    <definedName name="得意先設変_打合せ・会議">#REF!</definedName>
    <definedName name="得意先設変_検図・チェックシート作成" localSheetId="0">#REF!</definedName>
    <definedName name="得意先設変_検図・チェックシート作成">#REF!</definedName>
    <definedName name="得意先設変_検討" localSheetId="0">#REF!</definedName>
    <definedName name="得意先設変_検討">#REF!</definedName>
    <definedName name="性能">'[46]ﾄﾞﾛｯﾌﾟﾀﾞｳﾝLIST (2)'!$F$4:$F$37</definedName>
    <definedName name="情報" localSheetId="0">#REF!</definedName>
    <definedName name="情報">#REF!</definedName>
    <definedName name="改善報告" localSheetId="0">'Front Page'!改善報告</definedName>
    <definedName name="改善報告">[0]!改善報告</definedName>
    <definedName name="教育・講習会" localSheetId="0">#REF!</definedName>
    <definedName name="教育・講習会">#REF!</definedName>
    <definedName name="教育・講習会_出張の移動時間" localSheetId="0">#REF!</definedName>
    <definedName name="教育・講習会_出張の移動時間">#REF!</definedName>
    <definedName name="教育・講習会_受講" localSheetId="0">#REF!</definedName>
    <definedName name="教育・講習会_受講">#REF!</definedName>
    <definedName name="教育・講習会_報告書作成" localSheetId="0">#REF!</definedName>
    <definedName name="教育・講習会_報告書作成">#REF!</definedName>
    <definedName name="教育・講習会_講師" localSheetId="0">#REF!</definedName>
    <definedName name="教育・講習会_講師">#REF!</definedName>
    <definedName name="斉木" localSheetId="0">[43]!選択_P30</definedName>
    <definedName name="斉木">[44]!選択_P30</definedName>
    <definedName name="新･再" localSheetId="0">[32]不良ﾃﾞｰﾀ資料!$F$2:$F$3</definedName>
    <definedName name="新･再">[11]不良ﾃﾞｰﾀ資料!$F$2:$F$3</definedName>
    <definedName name="日産呼称DATA">[47]日産呼称DATA!$B$5:$L$309</definedName>
    <definedName name="時刻" localSheetId="0">#REF!</definedName>
    <definedName name="時刻">#REF!</definedName>
    <definedName name="時期" localSheetId="0">#REF!</definedName>
    <definedName name="時期">#REF!</definedName>
    <definedName name="月度" localSheetId="0">[32]不良ﾃﾞｰﾀ資料!$A$2:$A$13</definedName>
    <definedName name="月度">[11]不良ﾃﾞｰﾀ資料!$A$2:$A$13</definedName>
    <definedName name="朝礼" localSheetId="0">#REF!</definedName>
    <definedName name="朝礼">#REF!</definedName>
    <definedName name="検討" localSheetId="0">#REF!</definedName>
    <definedName name="検討">#REF!</definedName>
    <definedName name="標準化への落し込み">[28]ﾄﾞﾛｯﾌﾟﾀﾞｳﾝLIST!$T$4:$T$10</definedName>
    <definedName name="標準化への落とし込み">[26]ﾄﾞﾛｯﾌﾟﾀﾞｳﾝLIST!$V$4:$V$10</definedName>
    <definedName name="横集計">#N/A</definedName>
    <definedName name="正式配属先" localSheetId="0">#REF!</definedName>
    <definedName name="正式配属先">#REF!</definedName>
    <definedName name="深蔵" localSheetId="0">#REF!</definedName>
    <definedName name="深蔵">#REF!</definedName>
    <definedName name="熱延ﾊﾟｲﾌﾟ">#REF!</definedName>
    <definedName name="熱延鋼板">[33]熱延鋼板!$A$1:$B$65536</definedName>
    <definedName name="現象" localSheetId="0">[32]不良ﾃﾞｰﾀ資料!$K$2:$K$9</definedName>
    <definedName name="現象">[11]不良ﾃﾞｰﾀ資料!$K$2:$K$9</definedName>
    <definedName name="番号" localSheetId="0">#REF!</definedName>
    <definedName name="番号">#REF!</definedName>
    <definedName name="発生区分__加工">[28]ﾄﾞﾛｯﾌﾟﾀﾞｳﾝLIST!$O$3:$O$13</definedName>
    <definedName name="発生区分__外観">[28]ﾄﾞﾛｯﾌﾟﾀﾞｳﾝLIST!$M$3:$M$23</definedName>
    <definedName name="発生区分__機能">[28]ﾄﾞﾛｯﾌﾟﾀﾞｳﾝLIST!$L$3:$L$30</definedName>
    <definedName name="発生区分__欠品">[28]ﾄﾞﾛｯﾌﾟﾀﾞｳﾝLIST!$P$3:$P$7</definedName>
    <definedName name="発生区分__水入り">[28]ﾄﾞﾛｯﾌﾟﾀﾞｳﾝLIST!$K$3:$K$30</definedName>
    <definedName name="発生区分__組付">[28]ﾄﾞﾛｯﾌﾟﾀﾞｳﾝLIST!$N$3:$N$71</definedName>
    <definedName name="発生区分・加工" localSheetId="0">#REF!</definedName>
    <definedName name="発生区分・加工">#REF!</definedName>
    <definedName name="発生区分・外観" localSheetId="0">#REF!</definedName>
    <definedName name="発生区分・外観">#REF!</definedName>
    <definedName name="発生区分・機能" localSheetId="0">#REF!</definedName>
    <definedName name="発生区分・機能">#REF!</definedName>
    <definedName name="発生区分・欠品">[26]ﾄﾞﾛｯﾌﾟﾀﾞｳﾝLIST!$R$4:$R$7</definedName>
    <definedName name="発生区分・水入り" localSheetId="0">#REF!</definedName>
    <definedName name="発生区分・水入り">#REF!</definedName>
    <definedName name="発生区分・組付" localSheetId="0">#REF!</definedName>
    <definedName name="発生区分・組付">#REF!</definedName>
    <definedName name="研究開発" localSheetId="0">#REF!</definedName>
    <definedName name="研究開発">#REF!</definedName>
    <definedName name="研究開発_３Ｄモデル作成" localSheetId="0">#REF!</definedName>
    <definedName name="研究開発_３Ｄモデル作成">#REF!</definedName>
    <definedName name="研究開発_その他" localSheetId="0">#REF!</definedName>
    <definedName name="研究開発_その他">#REF!</definedName>
    <definedName name="研究開発_ソフト開発" localSheetId="0">#REF!</definedName>
    <definedName name="研究開発_ソフト開発">#REF!</definedName>
    <definedName name="研究開発_ヒアリング" localSheetId="0">#REF!</definedName>
    <definedName name="研究開発_ヒアリング">#REF!</definedName>
    <definedName name="研究開発_出張の移動時間" localSheetId="0">#REF!</definedName>
    <definedName name="研究開発_出張の移動時間">#REF!</definedName>
    <definedName name="研究開発_図面作成" localSheetId="0">#REF!</definedName>
    <definedName name="研究開発_図面作成">#REF!</definedName>
    <definedName name="研究開発_報告書" localSheetId="0">#REF!</definedName>
    <definedName name="研究開発_報告書">#REF!</definedName>
    <definedName name="研究開発_打合せ・会議" localSheetId="0">#REF!</definedName>
    <definedName name="研究開発_打合せ・会議">#REF!</definedName>
    <definedName name="研究開発_評価・解析" localSheetId="0">#REF!</definedName>
    <definedName name="研究開発_評価・解析">#REF!</definedName>
    <definedName name="研究開発_開発検討" localSheetId="0">#REF!</definedName>
    <definedName name="研究開発_開発検討">#REF!</definedName>
    <definedName name="社内設変" localSheetId="0">#REF!</definedName>
    <definedName name="社内設変">#REF!</definedName>
    <definedName name="社内設変_３Ｄモデル作成" localSheetId="0">#REF!</definedName>
    <definedName name="社内設変_３Ｄモデル作成">#REF!</definedName>
    <definedName name="社内設変_ＤＲ" localSheetId="0">#REF!</definedName>
    <definedName name="社内設変_ＤＲ">#REF!</definedName>
    <definedName name="社内設変_その他" localSheetId="0">#REF!</definedName>
    <definedName name="社内設変_その他">#REF!</definedName>
    <definedName name="社内設変_依頼書作成" localSheetId="0">#REF!</definedName>
    <definedName name="社内設変_依頼書作成">#REF!</definedName>
    <definedName name="社内設変_図面作成" localSheetId="0">#REF!</definedName>
    <definedName name="社内設変_図面作成">#REF!</definedName>
    <definedName name="社内設変_報告書" localSheetId="0">#REF!</definedName>
    <definedName name="社内設変_報告書">#REF!</definedName>
    <definedName name="社内設変_打合せ・会議" localSheetId="0">#REF!</definedName>
    <definedName name="社内設変_打合せ・会議">#REF!</definedName>
    <definedName name="社内設変_検図・チェックシート作成" localSheetId="0">#REF!</definedName>
    <definedName name="社内設変_検図・チェックシート作成">#REF!</definedName>
    <definedName name="社内設変_検討" localSheetId="0">#REF!</definedName>
    <definedName name="社内設変_検討">#REF!</definedName>
    <definedName name="社名" localSheetId="0">#REF!</definedName>
    <definedName name="社名">#REF!</definedName>
    <definedName name="種別">[48]ﾄﾞﾛｯﾌﾟﾀﾞｳﾝLIST!$C$4:$C$6</definedName>
    <definedName name="立上りx">#REF!</definedName>
    <definedName name="精度管理" localSheetId="0">#REF!</definedName>
    <definedName name="精度管理">#REF!</definedName>
    <definedName name="精度管理２">#REF!</definedName>
    <definedName name="組合・文体" localSheetId="0">#REF!</definedName>
    <definedName name="組合・文体">#REF!</definedName>
    <definedName name="絵">[28]ﾄﾞﾛｯﾌﾟﾀﾞｳﾝLIST!$U$4:$U$6</definedName>
    <definedName name="縦集計">#N/A</definedName>
    <definedName name="行間14" localSheetId="0">'Front Page'!行間14</definedName>
    <definedName name="行間14">[0]!行間14</definedName>
    <definedName name="行間7" localSheetId="0">'Front Page'!行間7</definedName>
    <definedName name="行間7">[0]!行間7</definedName>
    <definedName name="製品名">[28]ﾄﾞﾛｯﾌﾟﾀﾞｳﾝLIST!$H$4:$H$67</definedName>
    <definedName name="製品設計" localSheetId="0">#REF!</definedName>
    <definedName name="製品設計">#REF!</definedName>
    <definedName name="製品設計_３Ｄモデル作成" localSheetId="0">#REF!</definedName>
    <definedName name="製品設計_３Ｄモデル作成">#REF!</definedName>
    <definedName name="製品設計_ＤＲ" localSheetId="0">#REF!</definedName>
    <definedName name="製品設計_ＤＲ">#REF!</definedName>
    <definedName name="製品設計_サンプル作製" localSheetId="0">#REF!</definedName>
    <definedName name="製品設計_サンプル作製">#REF!</definedName>
    <definedName name="製品設計_その他" localSheetId="0">#REF!</definedName>
    <definedName name="製品設計_その他">#REF!</definedName>
    <definedName name="製品設計_仕様検討" localSheetId="0">#REF!</definedName>
    <definedName name="製品設計_仕様検討">#REF!</definedName>
    <definedName name="製品設計_仕様確認" localSheetId="0">#REF!</definedName>
    <definedName name="製品設計_仕様確認">#REF!</definedName>
    <definedName name="製品設計_依頼・問合せの検討と回答" localSheetId="0">#REF!</definedName>
    <definedName name="製品設計_依頼・問合せの検討と回答">#REF!</definedName>
    <definedName name="製品設計_依頼書作成" localSheetId="0">#REF!</definedName>
    <definedName name="製品設計_依頼書作成">#REF!</definedName>
    <definedName name="製品設計_出張の移動時間" localSheetId="0">#REF!</definedName>
    <definedName name="製品設計_出張の移動時間">#REF!</definedName>
    <definedName name="製品設計_協力メーカー打ち合わせ" localSheetId="0">#REF!</definedName>
    <definedName name="製品設計_協力メーカー打ち合わせ">#REF!</definedName>
    <definedName name="製品設計_図面チェック" localSheetId="0">#REF!</definedName>
    <definedName name="製品設計_図面チェック">#REF!</definedName>
    <definedName name="製品設計_図面作成" localSheetId="0">#REF!</definedName>
    <definedName name="製品設計_図面作成">#REF!</definedName>
    <definedName name="製品設計_報告書" localSheetId="0">#REF!</definedName>
    <definedName name="製品設計_報告書">#REF!</definedName>
    <definedName name="製品設計_実車確認" localSheetId="0">#REF!</definedName>
    <definedName name="製品設計_実車確認">#REF!</definedName>
    <definedName name="製品設計_得意先打合せ" localSheetId="0">#REF!</definedName>
    <definedName name="製品設計_得意先打合せ">#REF!</definedName>
    <definedName name="製品設計_日程管理" localSheetId="0">#REF!</definedName>
    <definedName name="製品設計_日程管理">#REF!</definedName>
    <definedName name="製品設計_検討" localSheetId="0">#REF!</definedName>
    <definedName name="製品設計_検討">#REF!</definedName>
    <definedName name="製品設計_相談・指導" localSheetId="0">#REF!</definedName>
    <definedName name="製品設計_相談・指導">#REF!</definedName>
    <definedName name="製品設計_社内打合せ・会議" localSheetId="0">#REF!</definedName>
    <definedName name="製品設計_社内打合せ・会議">#REF!</definedName>
    <definedName name="製品設計_製品開発計画書" localSheetId="0">#REF!</definedName>
    <definedName name="製品設計_製品開発計画書">#REF!</definedName>
    <definedName name="製品設計_試験" localSheetId="0">#REF!</definedName>
    <definedName name="製品設計_試験">#REF!</definedName>
    <definedName name="製品設計_認定・認証" localSheetId="0">#REF!</definedName>
    <definedName name="製品設計_認定・認証">#REF!</definedName>
    <definedName name="製品設計_配光設計" localSheetId="0">#REF!</definedName>
    <definedName name="製品設計_配光設計">#REF!</definedName>
    <definedName name="製品設計_配光試験" localSheetId="0">#REF!</definedName>
    <definedName name="製品設計_配光試験">#REF!</definedName>
    <definedName name="製造所" localSheetId="0">[32]不良ﾃﾞｰﾀ資料!$B$2:$B$7</definedName>
    <definedName name="製造所">[11]不良ﾃﾞｰﾀ資料!$B$2:$B$7</definedName>
    <definedName name="製造所区分">[28]ﾄﾞﾛｯﾌﾟﾀﾞｳﾝLIST!$E$4:$E$10</definedName>
    <definedName name="見積価格">#REF!</definedName>
    <definedName name="計算1">#N/A</definedName>
    <definedName name="計算2">#N/A</definedName>
    <definedName name="計算3">#N/A</definedName>
    <definedName name="計算4">#N/A</definedName>
    <definedName name="設計" localSheetId="0">#REF!</definedName>
    <definedName name="設計">#REF!</definedName>
    <definedName name="設計・生準" localSheetId="0">#REF!</definedName>
    <definedName name="設計・生準">#REF!</definedName>
    <definedName name="設計区分">[28]ﾄﾞﾛｯﾌﾟﾀﾞｳﾝLIST!$D$4:$D$8</definedName>
    <definedName name="試験結果表">#REF!</definedName>
    <definedName name="試験結果表1">#REF!</definedName>
    <definedName name="試験結果表2">#REF!</definedName>
    <definedName name="課名">[48]ﾄﾞﾛｯﾌﾟﾀﾞｳﾝLIST!$H$4:$H$40</definedName>
    <definedName name="負荷" localSheetId="0">#REF!</definedName>
    <definedName name="負荷">#REF!</definedName>
    <definedName name="負荷増" localSheetId="0">#REF!</definedName>
    <definedName name="負荷増">#REF!</definedName>
    <definedName name="軸受ガタ" localSheetId="0">#REF!</definedName>
    <definedName name="軸受ガタ">#REF!</definedName>
    <definedName name="連結ガタ" localSheetId="0">#REF!</definedName>
    <definedName name="連結ガタ">#REF!</definedName>
    <definedName name="選択">[28]ﾄﾞﾛｯﾌﾟﾀﾞｳﾝLIST!$C$4:$C$5</definedName>
    <definedName name="選択_B517" localSheetId="0">'Front Page'!選択_B517</definedName>
    <definedName name="選択_B517">[0]!選択_B517</definedName>
    <definedName name="選択_D510" localSheetId="0">'Front Page'!選択_D510</definedName>
    <definedName name="選択_D510">[0]!選択_D510</definedName>
    <definedName name="選択_M32" localSheetId="0">'Front Page'!選択_M32</definedName>
    <definedName name="選択_M32">[0]!選択_M32</definedName>
    <definedName name="選択_M95" localSheetId="0">'Front Page'!選択_M95</definedName>
    <definedName name="選択_M95">[0]!選択_M95</definedName>
    <definedName name="選択_P30" localSheetId="0">'Front Page'!選択_P30</definedName>
    <definedName name="選択_P30">[0]!選択_P30</definedName>
    <definedName name="選択_R34" localSheetId="0">'Front Page'!選択_R34</definedName>
    <definedName name="選択_R34">[0]!選択_R34</definedName>
    <definedName name="選択_T32" localSheetId="0">'Front Page'!選択_T32</definedName>
    <definedName name="選択_T32">[0]!選択_T32</definedName>
    <definedName name="選択_V01" localSheetId="0">'Front Page'!選択_V01</definedName>
    <definedName name="選択_V01">[0]!選択_V01</definedName>
    <definedName name="選択_W32" localSheetId="0">'Front Page'!選択_W32</definedName>
    <definedName name="選択_W32">[0]!選択_W32</definedName>
    <definedName name="選択_W33" localSheetId="0">'Front Page'!選択_W33</definedName>
    <definedName name="選択_W33">[0]!選択_W33</definedName>
    <definedName name="部名">[48]ﾄﾞﾛｯﾌﾟﾀﾞｳﾝLIST!$G$4:$G$20</definedName>
    <definedName name="部番一覧" localSheetId="0">[37]対象部番一覧!$C$1:$I$2111</definedName>
    <definedName name="部番一覧">[38]対象部番一覧!$C$1:$I$2111</definedName>
    <definedName name="部署">[28]ﾄﾞﾛｯﾌﾟﾀﾞｳﾝLIST!$G$4:$G$40</definedName>
    <definedName name="部署１" localSheetId="0">#REF!</definedName>
    <definedName name="部署１">#REF!</definedName>
    <definedName name="配光" localSheetId="0">#REF!</definedName>
    <definedName name="配光">#REF!</definedName>
    <definedName name="配光ブレ" localSheetId="0">#REF!</definedName>
    <definedName name="配光ブレ">#REF!</definedName>
    <definedName name="配属先" localSheetId="0">#REF!</definedName>
    <definedName name="配属先">#REF!</definedName>
    <definedName name="重要" localSheetId="0">[32]不良ﾃﾞｰﾀ資料!$H$2:$H$12</definedName>
    <definedName name="重要">[11]不良ﾃﾞｰﾀ資料!$H$2:$H$12</definedName>
    <definedName name="量産品設変" localSheetId="0">#REF!</definedName>
    <definedName name="量産品設変">#REF!</definedName>
    <definedName name="量産品設変_３Ｄモデル作成" localSheetId="0">#REF!</definedName>
    <definedName name="量産品設変_３Ｄモデル作成">#REF!</definedName>
    <definedName name="量産品設変_ＤＲ" localSheetId="0">#REF!</definedName>
    <definedName name="量産品設変_ＤＲ">#REF!</definedName>
    <definedName name="量産品設変_その他" localSheetId="0">#REF!</definedName>
    <definedName name="量産品設変_その他">#REF!</definedName>
    <definedName name="量産品設変_依頼書作成" localSheetId="0">#REF!</definedName>
    <definedName name="量産品設変_依頼書作成">#REF!</definedName>
    <definedName name="量産品設変_図面作成" localSheetId="0">#REF!</definedName>
    <definedName name="量産品設変_図面作成">#REF!</definedName>
    <definedName name="量産品設変_報告書" localSheetId="0">#REF!</definedName>
    <definedName name="量産品設変_報告書">#REF!</definedName>
    <definedName name="量産品設変_打合せ・会議" localSheetId="0">#REF!</definedName>
    <definedName name="量産品設変_打合せ・会議">#REF!</definedName>
    <definedName name="量産品設変_検図・チェックシート作成" localSheetId="0">#REF!</definedName>
    <definedName name="量産品設変_検図・チェックシート作成">#REF!</definedName>
    <definedName name="量産品設変_検討" localSheetId="0">#REF!</definedName>
    <definedName name="量産品設変_検討">#REF!</definedName>
    <definedName name="閉じる" localSheetId="0">'Front Page'!閉じる</definedName>
    <definedName name="閉じる">[0]!閉じる</definedName>
    <definedName name="開く目次" localSheetId="0">[39]!開く目次</definedName>
    <definedName name="開く目次">[23]!開く目次</definedName>
    <definedName name="関連情報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8" l="1"/>
  <c r="I19" i="8"/>
  <c r="I20" i="8"/>
  <c r="H19" i="8"/>
  <c r="H20" i="8"/>
  <c r="G19" i="8"/>
  <c r="G20" i="8"/>
  <c r="F19" i="8"/>
  <c r="F20" i="8"/>
  <c r="E18" i="8"/>
  <c r="E19" i="8"/>
  <c r="E20" i="8"/>
  <c r="D18" i="8"/>
  <c r="D19" i="8"/>
  <c r="D20" i="8"/>
  <c r="C20" i="8"/>
  <c r="C19" i="8"/>
  <c r="T12" i="8" l="1"/>
  <c r="T19" i="8" l="1"/>
  <c r="F14" i="8"/>
  <c r="T16" i="8"/>
  <c r="D15" i="8"/>
  <c r="E14" i="8" l="1"/>
  <c r="E11" i="8"/>
  <c r="I11" i="8"/>
  <c r="K11" i="8" s="1"/>
  <c r="K12" i="8"/>
  <c r="K13" i="8"/>
  <c r="I14" i="8"/>
  <c r="K14" i="8" s="1"/>
  <c r="K15" i="8"/>
  <c r="H11" i="8"/>
  <c r="H14" i="8"/>
  <c r="H15" i="8"/>
  <c r="H17" i="8"/>
  <c r="G11" i="8"/>
  <c r="G14" i="8"/>
  <c r="G15" i="8"/>
  <c r="G17" i="8"/>
  <c r="F11" i="8"/>
  <c r="F15" i="8"/>
  <c r="F17" i="8"/>
  <c r="E12" i="8"/>
  <c r="E13" i="8"/>
  <c r="E15" i="8"/>
  <c r="E16" i="8"/>
  <c r="E17" i="8"/>
  <c r="D11" i="8"/>
  <c r="D12" i="8"/>
  <c r="D13" i="8"/>
  <c r="D14" i="8"/>
  <c r="D16" i="8"/>
  <c r="D17" i="8"/>
  <c r="C11" i="8"/>
  <c r="C14" i="8"/>
  <c r="C15" i="8"/>
  <c r="C17" i="8"/>
  <c r="I10" i="8"/>
  <c r="K10" i="8" s="1"/>
  <c r="H10" i="8"/>
  <c r="G10" i="8"/>
  <c r="F10" i="8"/>
  <c r="E10" i="8"/>
  <c r="D10" i="8"/>
  <c r="C10" i="8"/>
  <c r="T29" i="8"/>
  <c r="T28" i="8"/>
  <c r="T27" i="8"/>
  <c r="T26" i="8"/>
  <c r="T25" i="8"/>
  <c r="T24" i="8"/>
  <c r="T23" i="8"/>
  <c r="T22" i="8"/>
  <c r="T21" i="8"/>
  <c r="T20" i="8"/>
  <c r="K18" i="8" l="1"/>
  <c r="T18" i="8"/>
  <c r="K17" i="8"/>
  <c r="T17" i="8"/>
  <c r="K16" i="8"/>
  <c r="T15" i="8"/>
  <c r="T14" i="8"/>
  <c r="T13" i="8"/>
  <c r="T11" i="8"/>
  <c r="T10" i="8"/>
  <c r="T49" i="8" l="1"/>
  <c r="T31" i="8"/>
  <c r="T32" i="8"/>
  <c r="T34" i="8"/>
  <c r="T35" i="8"/>
  <c r="T37" i="8"/>
  <c r="T38" i="8"/>
  <c r="T46" i="8"/>
  <c r="T45" i="8"/>
  <c r="T30" i="8"/>
  <c r="T33" i="8"/>
  <c r="T44" i="8" l="1"/>
  <c r="T43" i="8"/>
  <c r="T42" i="8"/>
  <c r="T41" i="8"/>
  <c r="T40" i="8"/>
  <c r="T39" i="8"/>
  <c r="T36" i="8" l="1"/>
  <c r="P1" i="8"/>
  <c r="K1" i="2"/>
  <c r="H1" i="2" l="1"/>
  <c r="T2" i="8" l="1"/>
  <c r="N2" i="2"/>
  <c r="P3" i="8"/>
  <c r="K3" i="2"/>
  <c r="J1" i="8"/>
  <c r="T51" i="8"/>
  <c r="T52" i="8" s="1"/>
  <c r="T50" i="8" l="1"/>
  <c r="I49" i="8"/>
  <c r="T53" i="8"/>
  <c r="L44" i="8" l="1"/>
  <c r="L45" i="8" s="1"/>
  <c r="I50" i="8"/>
  <c r="I53" i="8" s="1"/>
  <c r="T57" i="8" s="1"/>
  <c r="T55" i="8"/>
  <c r="T58" i="8" s="1"/>
  <c r="T56" i="8" l="1"/>
  <c r="T59" i="8" s="1"/>
</calcChain>
</file>

<file path=xl/sharedStrings.xml><?xml version="1.0" encoding="utf-8"?>
<sst xmlns="http://schemas.openxmlformats.org/spreadsheetml/2006/main" count="602" uniqueCount="346">
  <si>
    <t>How to</t>
  </si>
  <si>
    <t>Control No.</t>
  </si>
  <si>
    <t>Standard</t>
  </si>
  <si>
    <t>DOC-ARD-PDS-000</t>
  </si>
  <si>
    <t>Check sheet</t>
  </si>
  <si>
    <t>Format</t>
  </si>
  <si>
    <t>Guide line</t>
  </si>
  <si>
    <t>⑥</t>
  </si>
  <si>
    <t>Project Document</t>
  </si>
  <si>
    <t>Other :</t>
  </si>
  <si>
    <t>Project Design Specification
Model :
Project Name: HONDA MMCA BSI</t>
  </si>
  <si>
    <t>Contents</t>
  </si>
  <si>
    <t>Note / Related Document</t>
  </si>
  <si>
    <t>1. Circuit Specification</t>
  </si>
  <si>
    <t>2. Appendix</t>
  </si>
  <si>
    <t>3. Estimate cost</t>
  </si>
  <si>
    <t>Revision History</t>
  </si>
  <si>
    <t>No.</t>
  </si>
  <si>
    <t>Change Date</t>
  </si>
  <si>
    <t>Cause</t>
  </si>
  <si>
    <t>Issued</t>
  </si>
  <si>
    <t>Approved</t>
  </si>
  <si>
    <t>N</t>
  </si>
  <si>
    <t>New</t>
  </si>
  <si>
    <t>Rattakiat Ch</t>
  </si>
  <si>
    <t>1</t>
  </si>
  <si>
    <t>Design PCB</t>
  </si>
  <si>
    <t>2</t>
  </si>
  <si>
    <t>Update the new PCB shape, Design RH</t>
  </si>
  <si>
    <t>3</t>
  </si>
  <si>
    <t>Update PCB shape</t>
  </si>
  <si>
    <t>4</t>
  </si>
  <si>
    <t>Big PCB update, PCB shape and Layout</t>
  </si>
  <si>
    <t>5</t>
  </si>
  <si>
    <t>PCB Layout Change</t>
  </si>
  <si>
    <t>Change LED P/N and C1,C2 P/N, Update new Gerber with LED layout change</t>
  </si>
  <si>
    <t>9</t>
  </si>
  <si>
    <t>10</t>
  </si>
  <si>
    <t>11</t>
  </si>
  <si>
    <t>12</t>
  </si>
  <si>
    <t>13</t>
  </si>
  <si>
    <t>14</t>
  </si>
  <si>
    <t>15</t>
  </si>
  <si>
    <t>Checked</t>
  </si>
  <si>
    <t>In charge</t>
  </si>
  <si>
    <t>MG</t>
  </si>
  <si>
    <t>GM</t>
  </si>
  <si>
    <t>Krissada</t>
  </si>
  <si>
    <t>Imabeppu</t>
  </si>
  <si>
    <t>Page.1</t>
  </si>
  <si>
    <t xml:space="preserve">   CIRCUIT SPECIFICATION</t>
    <phoneticPr fontId="0"/>
  </si>
  <si>
    <t>PRODUCT NAME</t>
    <phoneticPr fontId="0"/>
  </si>
  <si>
    <t>HONDA MMCA BSI</t>
  </si>
  <si>
    <t>REVISION</t>
    <phoneticPr fontId="0"/>
  </si>
  <si>
    <t>APPROVED BY</t>
    <phoneticPr fontId="0"/>
  </si>
  <si>
    <t>CHECKED BY</t>
    <phoneticPr fontId="0"/>
  </si>
  <si>
    <t>ISSUED BY</t>
    <phoneticPr fontId="0"/>
  </si>
  <si>
    <t>AMPAS R&amp;D</t>
    <phoneticPr fontId="0"/>
  </si>
  <si>
    <t>K.Imabeppu</t>
  </si>
  <si>
    <t>Krissada C.</t>
  </si>
  <si>
    <t>Rattakiat Ch.</t>
  </si>
  <si>
    <t>ISSUE DATE</t>
    <phoneticPr fontId="0"/>
  </si>
  <si>
    <t>Contents in this sheet is under consideration.  Circuit spec have possibility to change.</t>
    <phoneticPr fontId="0"/>
  </si>
  <si>
    <t>NAME</t>
    <phoneticPr fontId="0"/>
  </si>
  <si>
    <t>CIRCUIT ASSY</t>
  </si>
  <si>
    <t>PURPOSE</t>
    <phoneticPr fontId="0"/>
  </si>
  <si>
    <t>ESTIMATION</t>
    <phoneticPr fontId="0"/>
  </si>
  <si>
    <t>1. LOAD SPEC</t>
    <phoneticPr fontId="0"/>
  </si>
  <si>
    <t>5. PARTS LIST</t>
    <phoneticPr fontId="0"/>
  </si>
  <si>
    <t>ITEMS</t>
    <phoneticPr fontId="0"/>
  </si>
  <si>
    <t>CONTENTS</t>
    <phoneticPr fontId="0"/>
  </si>
  <si>
    <t>REFERENCE NAME</t>
    <phoneticPr fontId="0"/>
  </si>
  <si>
    <t>QTY</t>
    <phoneticPr fontId="0"/>
  </si>
  <si>
    <t>LEAD TYPE</t>
    <phoneticPr fontId="0"/>
  </si>
  <si>
    <t>MANUFACTURER</t>
    <phoneticPr fontId="0"/>
  </si>
  <si>
    <t>MODEL No.</t>
    <phoneticPr fontId="0"/>
  </si>
  <si>
    <t>RATED VALUE</t>
    <phoneticPr fontId="0"/>
  </si>
  <si>
    <t>REMARKS</t>
    <phoneticPr fontId="0"/>
  </si>
  <si>
    <t>STYLE</t>
    <phoneticPr fontId="0"/>
  </si>
  <si>
    <t>SMD</t>
  </si>
  <si>
    <t>PART NUMBER</t>
    <phoneticPr fontId="0"/>
  </si>
  <si>
    <t>CAPACITOR</t>
  </si>
  <si>
    <t>YAGEO</t>
  </si>
  <si>
    <t>TOTAL QUANTITY</t>
    <phoneticPr fontId="0"/>
  </si>
  <si>
    <t>VISHAY</t>
  </si>
  <si>
    <t>FUNCTION</t>
    <phoneticPr fontId="0"/>
  </si>
  <si>
    <t>KEMET</t>
  </si>
  <si>
    <t>BIN OF
LED</t>
    <phoneticPr fontId="0"/>
  </si>
  <si>
    <t>BRIGHTNESS</t>
    <phoneticPr fontId="0"/>
  </si>
  <si>
    <t>WAVELENGTH</t>
    <phoneticPr fontId="0"/>
  </si>
  <si>
    <t>R1</t>
  </si>
  <si>
    <t>RESISTOR</t>
  </si>
  <si>
    <t>FORWARD VOLTAGE</t>
  </si>
  <si>
    <t>NOTE</t>
    <phoneticPr fontId="0"/>
  </si>
  <si>
    <t>-</t>
  </si>
  <si>
    <t>WIRE HARNESS</t>
  </si>
  <si>
    <t>FORWARD VOLTAGE</t>
    <phoneticPr fontId="0"/>
  </si>
  <si>
    <t>2. PCB SPEC</t>
    <phoneticPr fontId="0"/>
  </si>
  <si>
    <t>COPPER
FOIL</t>
    <phoneticPr fontId="0"/>
  </si>
  <si>
    <t>LAYER</t>
    <phoneticPr fontId="0"/>
  </si>
  <si>
    <t>MATERIAL</t>
    <phoneticPr fontId="0"/>
  </si>
  <si>
    <t>BOARD THICKNESS</t>
    <phoneticPr fontId="0"/>
  </si>
  <si>
    <t>6.COMBINATION OF RESISTANCE VALUE</t>
    <phoneticPr fontId="0"/>
  </si>
  <si>
    <t>7.FUNCTION TEST SPEC</t>
    <phoneticPr fontId="0"/>
  </si>
  <si>
    <t>COPPER FOIL SURFACE TREATMENT</t>
    <phoneticPr fontId="0"/>
  </si>
  <si>
    <t>SOLDER
RESIST</t>
    <phoneticPr fontId="0"/>
  </si>
  <si>
    <t>Brightness Group and Forward Voltage Group of LED.</t>
    <phoneticPr fontId="3"/>
  </si>
  <si>
    <t xml:space="preserve">  1. Input the voltage to Circuit assy by power supply</t>
    <phoneticPr fontId="0"/>
  </si>
  <si>
    <t>COLOR</t>
    <phoneticPr fontId="0"/>
  </si>
  <si>
    <t>EMS supplier needs to manage the LED BIN and Resistance value.</t>
    <phoneticPr fontId="3"/>
  </si>
  <si>
    <t xml:space="preserve">  2. Measure the total current (by Digital multimeter , Ampere meter etc.)</t>
    <phoneticPr fontId="0"/>
  </si>
  <si>
    <t>SILK
SCREEN</t>
    <phoneticPr fontId="0"/>
  </si>
  <si>
    <t xml:space="preserve">  3. Voltage and target current range are specified in Drawing</t>
    <phoneticPr fontId="0"/>
  </si>
  <si>
    <t>WHITE</t>
  </si>
  <si>
    <t>APPLICABLE STANDARD</t>
    <phoneticPr fontId="0"/>
  </si>
  <si>
    <t xml:space="preserve"> (Note)</t>
  </si>
  <si>
    <t xml:space="preserve">  * No need to measure automatically</t>
    <phoneticPr fontId="0"/>
  </si>
  <si>
    <t>3. SOLDER SPEC</t>
    <phoneticPr fontId="0"/>
  </si>
  <si>
    <t xml:space="preserve">  * No need to record the result of current</t>
    <phoneticPr fontId="0"/>
  </si>
  <si>
    <t>Solder</t>
    <phoneticPr fontId="0"/>
  </si>
  <si>
    <t>Sn-3.0Ag-0.5Cu (Pb Free)</t>
    <phoneticPr fontId="0"/>
  </si>
  <si>
    <t>Any (used for Automotive)</t>
    <phoneticPr fontId="0"/>
  </si>
  <si>
    <t>4. PART MOUNTING SPEC</t>
    <phoneticPr fontId="0"/>
  </si>
  <si>
    <t>PART
POSITION
(AI)</t>
    <phoneticPr fontId="0"/>
  </si>
  <si>
    <t>LED</t>
    <phoneticPr fontId="0"/>
  </si>
  <si>
    <t>N/A</t>
  </si>
  <si>
    <t>ELECTRICAL PART</t>
  </si>
  <si>
    <t>TOP-SIDE</t>
  </si>
  <si>
    <t>CONNECTOR</t>
    <phoneticPr fontId="0"/>
  </si>
  <si>
    <t>BOTTOM-SIDE</t>
  </si>
  <si>
    <t>TERMINAL</t>
    <phoneticPr fontId="0"/>
  </si>
  <si>
    <t>IPC-A-610 , CLASS 3</t>
  </si>
  <si>
    <t>8. PCB SHAPE &amp; SIZE</t>
    <phoneticPr fontId="0"/>
  </si>
  <si>
    <t>9. METAL PART , MANUAL SOLDERING &amp; PROCESSING</t>
    <phoneticPr fontId="0"/>
  </si>
  <si>
    <t>unit : [mm]</t>
    <phoneticPr fontId="0"/>
  </si>
  <si>
    <t>1. Metal part</t>
    <phoneticPr fontId="2"/>
  </si>
  <si>
    <t>2. Manual Insert</t>
  </si>
  <si>
    <r>
      <t xml:space="preserve">    Wire harness should be inserted to PCB </t>
    </r>
    <r>
      <rPr>
        <b/>
        <sz val="11"/>
        <rFont val="Arial"/>
        <family val="2"/>
      </rPr>
      <t>2 points</t>
    </r>
    <r>
      <rPr>
        <sz val="11"/>
        <rFont val="Arial"/>
        <family val="2"/>
      </rPr>
      <t xml:space="preserve"> on </t>
    </r>
    <r>
      <rPr>
        <b/>
        <sz val="11"/>
        <rFont val="Arial"/>
        <family val="2"/>
      </rPr>
      <t>BOTTOM SIDE</t>
    </r>
  </si>
  <si>
    <t>3. Manual Soldering</t>
  </si>
  <si>
    <t>4. Circuit Assy Separating process</t>
  </si>
  <si>
    <t xml:space="preserve">    Use Cutting Machine  (Not allowed separating by hand)</t>
    <phoneticPr fontId="0"/>
  </si>
  <si>
    <t>5. PCB Outline processing</t>
  </si>
  <si>
    <t xml:space="preserve">   NC , Routing (Not allowed Press by mould)</t>
    <phoneticPr fontId="0"/>
  </si>
  <si>
    <t xml:space="preserve">   N/A</t>
  </si>
  <si>
    <t>10. SCHEMATIC</t>
    <phoneticPr fontId="0"/>
  </si>
  <si>
    <t>11.CONDITIONS &amp; NOTES</t>
    <phoneticPr fontId="0"/>
  </si>
  <si>
    <t>1. Production volume , Running year will be informed from AMPAS Sales or Purchasing</t>
    <phoneticPr fontId="0"/>
  </si>
  <si>
    <t>2. Quotation is excluded the VAT 7%</t>
    <phoneticPr fontId="0"/>
  </si>
  <si>
    <t>3. If possible, estimate the tooling cost for mass production as below</t>
  </si>
  <si>
    <t xml:space="preserve">  - PCB Set up charge</t>
  </si>
  <si>
    <t xml:space="preserve">  - PCB E-Test Fixture</t>
  </si>
  <si>
    <t xml:space="preserve">  - Stencil</t>
  </si>
  <si>
    <t xml:space="preserve">  - ICT Fixture</t>
  </si>
  <si>
    <t xml:space="preserve">  - FCT Fixture</t>
  </si>
  <si>
    <t xml:space="preserve">  - Jig for PCB Cutting</t>
  </si>
  <si>
    <t xml:space="preserve">  - Jig for harness Soldering</t>
  </si>
  <si>
    <t>4. This is Non BOI Project</t>
    <phoneticPr fontId="0"/>
  </si>
  <si>
    <t>5. This project have program development cost</t>
  </si>
  <si>
    <r>
      <t>Confidential : Property of AMPAS R&amp;D Co.,Ltd. - Duplication prohibited</t>
    </r>
    <r>
      <rPr>
        <b/>
        <sz val="16"/>
        <rFont val="ＭＳ Ｐゴシック"/>
        <family val="2"/>
      </rPr>
      <t>　　　</t>
    </r>
  </si>
  <si>
    <t>P.1/1</t>
    <phoneticPr fontId="0"/>
  </si>
  <si>
    <t>APPENDIX</t>
    <phoneticPr fontId="0"/>
  </si>
  <si>
    <t>CIRCUIT ASSY</t>
    <phoneticPr fontId="0"/>
  </si>
  <si>
    <t>P.1/1</t>
  </si>
  <si>
    <t>ESTIMATE COST</t>
  </si>
  <si>
    <t>Mounted</t>
  </si>
  <si>
    <t>Alternative</t>
  </si>
  <si>
    <t>No</t>
  </si>
  <si>
    <t>PART NAME</t>
  </si>
  <si>
    <t>MAKER</t>
  </si>
  <si>
    <t>MODEL NO.</t>
  </si>
  <si>
    <t>RATED VALUE</t>
  </si>
  <si>
    <t>LEAD TYPE</t>
  </si>
  <si>
    <t>REFERENCE</t>
  </si>
  <si>
    <t>Usage</t>
  </si>
  <si>
    <t>SUPPLIER</t>
  </si>
  <si>
    <t>LT/DAY</t>
  </si>
  <si>
    <t>MOQ</t>
  </si>
  <si>
    <t>SPQ</t>
  </si>
  <si>
    <t>CURRENCY</t>
  </si>
  <si>
    <t>PRICE</t>
  </si>
  <si>
    <t>REMARK</t>
  </si>
  <si>
    <t>KIT</t>
  </si>
  <si>
    <t>PCB1</t>
  </si>
  <si>
    <t>THB</t>
  </si>
  <si>
    <t>USD</t>
  </si>
  <si>
    <t>Estimate</t>
  </si>
  <si>
    <t>Shot Assy'</t>
  </si>
  <si>
    <t>Currency Ratio</t>
  </si>
  <si>
    <t>USD = THB</t>
  </si>
  <si>
    <t>Submat</t>
  </si>
  <si>
    <t>Terminal soldering</t>
  </si>
  <si>
    <t>JPY = THB</t>
  </si>
  <si>
    <t>JPY</t>
  </si>
  <si>
    <t>Package &amp; Transport</t>
  </si>
  <si>
    <t>Total</t>
  </si>
  <si>
    <t>Assy(include Box&amp;Tray)</t>
  </si>
  <si>
    <t>Grand Total</t>
  </si>
  <si>
    <t>QTY : YEAR</t>
  </si>
  <si>
    <t>P.1/2</t>
  </si>
  <si>
    <t>P.2/2</t>
  </si>
  <si>
    <t>Edit Capacitor Part Number</t>
  </si>
  <si>
    <t>MANUFACTURER</t>
  </si>
  <si>
    <t>AI PART MOUNTING SIDE</t>
  </si>
  <si>
    <t>PART
POSITION
(MI)</t>
  </si>
  <si>
    <t>PLATING THICKNESS OF THROUGH HOLE</t>
  </si>
  <si>
    <t>6. Conformal coating</t>
  </si>
  <si>
    <t>Material Cost</t>
  </si>
  <si>
    <t>Yield Loss(3%)</t>
  </si>
  <si>
    <t>Management Fee</t>
  </si>
  <si>
    <t>Effective 07/01/2024</t>
  </si>
  <si>
    <t>AMPAS R&amp;D Co.,Ltd.</t>
  </si>
  <si>
    <t>Confidential : Property of AMPAS R&amp;D Co.,Ltd. - Duplication prohibited　</t>
  </si>
  <si>
    <t>To check the total current of circuit assy after mounting and soldering all the parts.</t>
  </si>
  <si>
    <t>Resistance Value should be changed depending on the combination of</t>
  </si>
  <si>
    <t>6. This project includes symmetric PCB shapes for LH and RH sides. but Part list is common</t>
  </si>
  <si>
    <t>Rev.09</t>
  </si>
  <si>
    <t>Add LED3 (3 LEDs in series), update schematic and PCB shape LH/RH Rev.09</t>
  </si>
  <si>
    <t>Rattakiat</t>
  </si>
  <si>
    <t>C_BUS1, C9, C10</t>
  </si>
  <si>
    <t>TDK</t>
  </si>
  <si>
    <t>C1005X5R1E224M050BC</t>
  </si>
  <si>
    <t>220nF/25V</t>
  </si>
  <si>
    <t>0402; X5R; ±20%; RoHS</t>
  </si>
  <si>
    <t>C_OUT1 - C_OUT5</t>
  </si>
  <si>
    <t>MURATA</t>
  </si>
  <si>
    <t>GRT31CR61E226KE01L</t>
  </si>
  <si>
    <t>22µF/25V</t>
  </si>
  <si>
    <t>1206 (3216); X5R; ±10%</t>
  </si>
  <si>
    <t>C1, C13</t>
  </si>
  <si>
    <t>EDH476M050S9HAA</t>
  </si>
  <si>
    <t>47µF/50V</t>
  </si>
  <si>
    <t>Aluminum electrolytic; ±20%</t>
  </si>
  <si>
    <t>C2, C4, C6</t>
  </si>
  <si>
    <t>CGA5L1X7R1H106K160AC</t>
  </si>
  <si>
    <t>10µF/50V</t>
  </si>
  <si>
    <t>1206; X7R; ±10%; +125°C; Auto</t>
  </si>
  <si>
    <t>C3, C5, C7, C8</t>
  </si>
  <si>
    <t>CGA3E2X7R1H104K080AA</t>
  </si>
  <si>
    <t>100nF/50V</t>
  </si>
  <si>
    <t>0603; X7R; ±10%; +125°C; Auto</t>
  </si>
  <si>
    <t>C11</t>
  </si>
  <si>
    <t>GRT155R61E225KE13D</t>
  </si>
  <si>
    <t>2.2µF/25V</t>
  </si>
  <si>
    <t>0402; X5R; ±10%; RoHS</t>
  </si>
  <si>
    <t>C12</t>
  </si>
  <si>
    <t>CGA2B3X7R1E104K050BB</t>
  </si>
  <si>
    <t>100nF/25V</t>
  </si>
  <si>
    <t>0402; X7R; ±10%; +125°C; Auto</t>
  </si>
  <si>
    <t>C14</t>
  </si>
  <si>
    <t>CGA3E2X5R1A105K080AA</t>
  </si>
  <si>
    <t>1µF/10V</t>
  </si>
  <si>
    <t>0603; X5R; ±10%; +85°C; Auto</t>
  </si>
  <si>
    <t>J2</t>
  </si>
  <si>
    <t>CONNECTOR</t>
  </si>
  <si>
    <t>MOLEX</t>
  </si>
  <si>
    <t>219320-0001</t>
  </si>
  <si>
    <t>USB Type-C; 16 circuits; vertical</t>
  </si>
  <si>
    <t>L_EMI1</t>
  </si>
  <si>
    <t>INDUCTOR</t>
  </si>
  <si>
    <t>COILCRAFT</t>
  </si>
  <si>
    <t>XAL4020-102MEC</t>
  </si>
  <si>
    <t>1µH/9.6A</t>
  </si>
  <si>
    <t>±20%; DCR 14.60mΩ; AEC-Q200</t>
  </si>
  <si>
    <t>L1</t>
  </si>
  <si>
    <t>XAL6060-103MEB</t>
  </si>
  <si>
    <t>10µH</t>
  </si>
  <si>
    <t>Shielded; ±20%; 29.82mΩ; AEC-Q200</t>
  </si>
  <si>
    <t>NTC1</t>
  </si>
  <si>
    <t>THERMISTOR NTC</t>
  </si>
  <si>
    <t>NCU18WF104F6SRB</t>
  </si>
  <si>
    <t>100kΩ</t>
  </si>
  <si>
    <t>0603; ±1%; NTC</t>
  </si>
  <si>
    <t>R_BUS1</t>
  </si>
  <si>
    <t>KOA SPEER</t>
  </si>
  <si>
    <t>RK73B2ATTD101J</t>
  </si>
  <si>
    <t>100Ω</t>
  </si>
  <si>
    <t>R_NTC1</t>
  </si>
  <si>
    <t>RK73H1ETTPD1002F</t>
  </si>
  <si>
    <t>10kΩ/100mW</t>
  </si>
  <si>
    <t>0402</t>
  </si>
  <si>
    <t>R_SENSE1</t>
  </si>
  <si>
    <t>STACKPOLE</t>
  </si>
  <si>
    <t>CSR1206FK15L0</t>
  </si>
  <si>
    <t>15mΩ/0.5W</t>
  </si>
  <si>
    <t>1206; ±1%; current sense</t>
  </si>
  <si>
    <t>R_SET1</t>
  </si>
  <si>
    <t>CRCW0402301RFKED</t>
  </si>
  <si>
    <t>301Ω/63mW</t>
  </si>
  <si>
    <t>NOT SPECIFIED</t>
  </si>
  <si>
    <t>100kΩ/0.1W</t>
  </si>
  <si>
    <t>0603 (1608); ±1%; MPN not specified</t>
  </si>
  <si>
    <t>R2, R6</t>
  </si>
  <si>
    <t>PANASONIC</t>
  </si>
  <si>
    <t>ERJ2GE0R00X</t>
  </si>
  <si>
    <t>0Ω/100mW</t>
  </si>
  <si>
    <t>0402 (1005); -55 to +155°C; RoHS</t>
  </si>
  <si>
    <t>R3</t>
  </si>
  <si>
    <t>AC0402FR-7W20KL</t>
  </si>
  <si>
    <t>20kΩ/125mW</t>
  </si>
  <si>
    <t>R4</t>
  </si>
  <si>
    <t>RC0402FR-075KL</t>
  </si>
  <si>
    <t>5kΩ/62.5mW</t>
  </si>
  <si>
    <t>R5</t>
  </si>
  <si>
    <t>ERJ2RKF4992X</t>
  </si>
  <si>
    <t>49.9kΩ/100mW</t>
  </si>
  <si>
    <t>R7</t>
  </si>
  <si>
    <t>CRCW040211K8FKEE</t>
  </si>
  <si>
    <t>11.8kΩ/63mW</t>
  </si>
  <si>
    <t>TVS1</t>
  </si>
  <si>
    <t>TVS DIODE</t>
  </si>
  <si>
    <t>BOURNS</t>
  </si>
  <si>
    <t>SMBJ18CA-Q</t>
  </si>
  <si>
    <t>Rating not specified in source</t>
  </si>
  <si>
    <t>U1</t>
  </si>
  <si>
    <t>MOSFET</t>
  </si>
  <si>
    <t>SQ4917CEY-T1_GE3</t>
  </si>
  <si>
    <t>60V/8A</t>
  </si>
  <si>
    <t>SOIC-8; dual P-channel; 48mΩ</t>
  </si>
  <si>
    <t>U2</t>
  </si>
  <si>
    <t>USB INTERFACE IC</t>
  </si>
  <si>
    <t>TEXAS INSTRUMENTS</t>
  </si>
  <si>
    <t>TPS25833QWRHBRQ1</t>
  </si>
  <si>
    <t>5V/3.5A</t>
  </si>
  <si>
    <t>VQFN-32; VIN 36V; Type-C/BC1.2</t>
  </si>
  <si>
    <t>ZD1</t>
  </si>
  <si>
    <t>ZENER DIODE</t>
  </si>
  <si>
    <t>DIODES INC.</t>
  </si>
  <si>
    <t>BZT52C12Q-7-F</t>
  </si>
  <si>
    <t>12V/370mW</t>
  </si>
  <si>
    <t>SOD-123; ±5.42%</t>
  </si>
  <si>
    <t>GREEN</t>
  </si>
  <si>
    <t>DOUBLE-SIDED</t>
  </si>
  <si>
    <t>THICKNESS</t>
  </si>
  <si>
    <t>35µm</t>
  </si>
  <si>
    <t>ANY (for automotive use)</t>
  </si>
  <si>
    <t>FR-4, Tg 130-150°C</t>
  </si>
  <si>
    <t>1.6 mm</t>
  </si>
  <si>
    <t>&gt; 15µm</t>
  </si>
  <si>
    <t>OSP or HASL (lead-free)</t>
  </si>
  <si>
    <t>IPC-A-600, CLASS 2</t>
  </si>
  <si>
    <t>GERBER FILE NAME</t>
  </si>
  <si>
    <t xml:space="preserve">          *Input Voltage : 12 V</t>
  </si>
  <si>
    <t xml:space="preserve">          *Target of output current : 3 A max</t>
  </si>
  <si>
    <t>The quotation shall include manual soldering of the USB and power input connectors at two locations on the TOP SIDE of the PCB.</t>
  </si>
  <si>
    <t xml:space="preserve">          *Output Voltage : 5 V</t>
  </si>
  <si>
    <t>Thick Film Resistors - SMD 100ohm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</si>
</sst>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"/>
    <numFmt numFmtId="166" formatCode="[$-409]mmmm\ d\,\ yyyy;@"/>
    <numFmt numFmtId="167" formatCode="0_ "/>
    <numFmt numFmtId="168" formatCode="_-* #,##0_-;\-* #,##0_-;_-* &quot;-&quot;??_-;_-@_-"/>
    <numFmt numFmtId="169" formatCode="_-[$฿-41E]* #,##0.00_-;\-[$฿-41E]* #,##0.00_-;_-[$฿-41E]* &quot;-&quot;??_-;_-@_-"/>
    <numFmt numFmtId="170" formatCode="dd/mm/yyyy;@"/>
  </numFmts>
  <fonts count="42">
    <font>
      <sz val="11"/>
      <color theme="1"/>
      <name val="Calibri"/>
      <family val="2"/>
      <charset val="222"/>
      <scheme val="minor"/>
    </font>
    <font>
      <sz val="11"/>
      <name val="ＭＳ Ｐゴシック"/>
      <family val="2"/>
    </font>
    <font>
      <sz val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7"/>
      <color theme="0"/>
      <name val="Arial"/>
      <family val="2"/>
    </font>
    <font>
      <sz val="10"/>
      <color theme="1"/>
      <name val="Arial"/>
      <family val="2"/>
    </font>
    <font>
      <sz val="6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indexed="8"/>
      <name val="Arial"/>
      <family val="2"/>
    </font>
    <font>
      <sz val="10"/>
      <color indexed="10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6"/>
      <name val="ＭＳ Ｐゴシック"/>
      <family val="2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name val="ＭＳ 明朝"/>
      <family val="1"/>
      <charset val="128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2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10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color theme="1"/>
      <name val="ＭＳ Ｐゴシック"/>
      <family val="2"/>
      <charset val="128"/>
    </font>
    <font>
      <b/>
      <sz val="10"/>
      <color rgb="FF000000"/>
      <name val="Calibri"/>
      <family val="2"/>
      <scheme val="minor"/>
    </font>
    <font>
      <b/>
      <u/>
      <sz val="12"/>
      <name val="Calibri"/>
      <family val="2"/>
      <scheme val="minor"/>
    </font>
    <font>
      <b/>
      <i/>
      <sz val="18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0"/>
    <xf numFmtId="0" fontId="27" fillId="0" borderId="0"/>
    <xf numFmtId="0" fontId="36" fillId="0" borderId="0">
      <alignment vertical="center"/>
    </xf>
  </cellStyleXfs>
  <cellXfs count="377">
    <xf numFmtId="0" fontId="0" fillId="0" borderId="0" xfId="0"/>
    <xf numFmtId="0" fontId="2" fillId="2" borderId="0" xfId="1" applyFont="1" applyFill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2" fillId="3" borderId="0" xfId="1" applyFont="1" applyFill="1" applyAlignment="1">
      <alignment vertical="center"/>
    </xf>
    <xf numFmtId="0" fontId="2" fillId="2" borderId="18" xfId="1" applyFont="1" applyFill="1" applyBorder="1" applyAlignment="1">
      <alignment horizontal="center" vertical="center"/>
    </xf>
    <xf numFmtId="166" fontId="2" fillId="2" borderId="18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2" borderId="0" xfId="1" applyFont="1" applyFill="1" applyAlignment="1">
      <alignment vertical="center"/>
    </xf>
    <xf numFmtId="0" fontId="9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9" fillId="0" borderId="0" xfId="1" applyFont="1" applyAlignment="1">
      <alignment vertical="center"/>
    </xf>
    <xf numFmtId="0" fontId="9" fillId="3" borderId="0" xfId="1" applyFont="1" applyFill="1" applyAlignment="1">
      <alignment vertical="center"/>
    </xf>
    <xf numFmtId="167" fontId="11" fillId="4" borderId="38" xfId="1" applyNumberFormat="1" applyFont="1" applyFill="1" applyBorder="1" applyAlignment="1">
      <alignment horizontal="center" vertical="center"/>
    </xf>
    <xf numFmtId="167" fontId="11" fillId="4" borderId="38" xfId="1" applyNumberFormat="1" applyFont="1" applyFill="1" applyBorder="1" applyAlignment="1">
      <alignment horizontal="center" vertical="center" shrinkToFit="1"/>
    </xf>
    <xf numFmtId="167" fontId="12" fillId="4" borderId="38" xfId="1" applyNumberFormat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0" borderId="38" xfId="1" applyFont="1" applyBorder="1" applyAlignment="1">
      <alignment horizontal="center" vertical="center" shrinkToFit="1"/>
    </xf>
    <xf numFmtId="167" fontId="2" fillId="0" borderId="38" xfId="1" quotePrefix="1" applyNumberFormat="1" applyFont="1" applyBorder="1" applyAlignment="1">
      <alignment horizontal="center" vertical="center" shrinkToFit="1"/>
    </xf>
    <xf numFmtId="0" fontId="8" fillId="5" borderId="38" xfId="1" applyFont="1" applyFill="1" applyBorder="1" applyAlignment="1">
      <alignment vertical="center"/>
    </xf>
    <xf numFmtId="167" fontId="2" fillId="2" borderId="38" xfId="1" applyNumberFormat="1" applyFont="1" applyFill="1" applyBorder="1" applyAlignment="1">
      <alignment horizontal="center" vertical="center" shrinkToFit="1"/>
    </xf>
    <xf numFmtId="0" fontId="8" fillId="2" borderId="0" xfId="1" applyFont="1" applyFill="1" applyAlignment="1">
      <alignment horizontal="left" vertical="center"/>
    </xf>
    <xf numFmtId="0" fontId="2" fillId="2" borderId="38" xfId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vertical="center"/>
    </xf>
    <xf numFmtId="0" fontId="2" fillId="2" borderId="42" xfId="1" applyFont="1" applyFill="1" applyBorder="1" applyAlignment="1">
      <alignment vertical="center"/>
    </xf>
    <xf numFmtId="167" fontId="2" fillId="2" borderId="43" xfId="1" applyNumberFormat="1" applyFont="1" applyFill="1" applyBorder="1" applyAlignment="1">
      <alignment horizontal="left" vertical="center"/>
    </xf>
    <xf numFmtId="167" fontId="2" fillId="2" borderId="42" xfId="1" applyNumberFormat="1" applyFont="1" applyFill="1" applyBorder="1" applyAlignment="1">
      <alignment horizontal="left" vertical="center"/>
    </xf>
    <xf numFmtId="167" fontId="2" fillId="2" borderId="42" xfId="1" quotePrefix="1" applyNumberFormat="1" applyFont="1" applyFill="1" applyBorder="1" applyAlignment="1">
      <alignment horizontal="left" vertical="center"/>
    </xf>
    <xf numFmtId="167" fontId="2" fillId="2" borderId="43" xfId="1" quotePrefix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vertical="center"/>
    </xf>
    <xf numFmtId="0" fontId="2" fillId="2" borderId="0" xfId="1" applyFont="1" applyFill="1" applyAlignment="1">
      <alignment horizontal="left" vertical="center"/>
    </xf>
    <xf numFmtId="167" fontId="2" fillId="2" borderId="45" xfId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horizontal="left" vertical="center"/>
    </xf>
    <xf numFmtId="167" fontId="2" fillId="2" borderId="0" xfId="1" applyNumberFormat="1" applyFont="1" applyFill="1" applyAlignment="1">
      <alignment horizontal="left" vertical="center"/>
    </xf>
    <xf numFmtId="167" fontId="2" fillId="2" borderId="0" xfId="1" quotePrefix="1" applyNumberFormat="1" applyFont="1" applyFill="1" applyAlignment="1">
      <alignment horizontal="left" vertical="center"/>
    </xf>
    <xf numFmtId="167" fontId="2" fillId="2" borderId="45" xfId="1" quotePrefix="1" applyNumberFormat="1" applyFont="1" applyFill="1" applyBorder="1" applyAlignment="1">
      <alignment horizontal="left" vertical="center"/>
    </xf>
    <xf numFmtId="167" fontId="2" fillId="2" borderId="44" xfId="1" applyNumberFormat="1" applyFont="1" applyFill="1" applyBorder="1" applyAlignment="1">
      <alignment horizontal="left" vertical="center"/>
    </xf>
    <xf numFmtId="167" fontId="16" fillId="2" borderId="0" xfId="1" applyNumberFormat="1" applyFont="1" applyFill="1" applyAlignment="1">
      <alignment horizontal="left" vertical="center"/>
    </xf>
    <xf numFmtId="167" fontId="8" fillId="2" borderId="0" xfId="1" applyNumberFormat="1" applyFont="1" applyFill="1" applyAlignment="1">
      <alignment horizontal="left" vertical="center"/>
    </xf>
    <xf numFmtId="0" fontId="2" fillId="5" borderId="46" xfId="1" applyFont="1" applyFill="1" applyBorder="1" applyAlignment="1">
      <alignment horizontal="center" vertical="center"/>
    </xf>
    <xf numFmtId="0" fontId="6" fillId="5" borderId="48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vertical="center"/>
    </xf>
    <xf numFmtId="167" fontId="2" fillId="2" borderId="30" xfId="1" applyNumberFormat="1" applyFont="1" applyFill="1" applyBorder="1" applyAlignment="1">
      <alignment horizontal="left" vertical="center"/>
    </xf>
    <xf numFmtId="167" fontId="2" fillId="2" borderId="31" xfId="1" quotePrefix="1" applyNumberFormat="1" applyFont="1" applyFill="1" applyBorder="1" applyAlignment="1">
      <alignment horizontal="left" vertical="center"/>
    </xf>
    <xf numFmtId="167" fontId="2" fillId="2" borderId="31" xfId="1" applyNumberFormat="1" applyFont="1" applyFill="1" applyBorder="1" applyAlignment="1">
      <alignment horizontal="left" vertical="center"/>
    </xf>
    <xf numFmtId="167" fontId="2" fillId="2" borderId="48" xfId="1" applyNumberFormat="1" applyFont="1" applyFill="1" applyBorder="1" applyAlignment="1">
      <alignment horizontal="left" vertical="center"/>
    </xf>
    <xf numFmtId="167" fontId="8" fillId="2" borderId="31" xfId="1" applyNumberFormat="1" applyFont="1" applyFill="1" applyBorder="1" applyAlignment="1">
      <alignment horizontal="left" vertical="center"/>
    </xf>
    <xf numFmtId="0" fontId="17" fillId="2" borderId="38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vertical="center"/>
    </xf>
    <xf numFmtId="0" fontId="5" fillId="2" borderId="44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17" fillId="2" borderId="44" xfId="1" quotePrefix="1" applyFont="1" applyFill="1" applyBorder="1" applyAlignment="1">
      <alignment vertical="center"/>
    </xf>
    <xf numFmtId="0" fontId="2" fillId="3" borderId="45" xfId="1" applyFont="1" applyFill="1" applyBorder="1" applyAlignment="1">
      <alignment vertical="center"/>
    </xf>
    <xf numFmtId="0" fontId="17" fillId="2" borderId="44" xfId="1" applyFont="1" applyFill="1" applyBorder="1" applyAlignment="1">
      <alignment vertical="center"/>
    </xf>
    <xf numFmtId="0" fontId="18" fillId="2" borderId="44" xfId="1" applyFont="1" applyFill="1" applyBorder="1" applyAlignment="1">
      <alignment vertical="center"/>
    </xf>
    <xf numFmtId="0" fontId="19" fillId="2" borderId="44" xfId="1" applyFont="1" applyFill="1" applyBorder="1" applyAlignment="1">
      <alignment vertical="center"/>
    </xf>
    <xf numFmtId="0" fontId="19" fillId="2" borderId="0" xfId="1" applyFont="1" applyFill="1" applyAlignment="1">
      <alignment vertical="center"/>
    </xf>
    <xf numFmtId="0" fontId="8" fillId="2" borderId="44" xfId="1" applyFont="1" applyFill="1" applyBorder="1" applyAlignment="1">
      <alignment horizontal="left" vertical="center"/>
    </xf>
    <xf numFmtId="0" fontId="17" fillId="2" borderId="0" xfId="1" applyFont="1" applyFill="1" applyAlignment="1">
      <alignment vertical="center"/>
    </xf>
    <xf numFmtId="0" fontId="18" fillId="2" borderId="0" xfId="1" applyFont="1" applyFill="1" applyAlignment="1">
      <alignment vertical="center"/>
    </xf>
    <xf numFmtId="0" fontId="5" fillId="2" borderId="4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5" xfId="1" applyFont="1" applyFill="1" applyBorder="1" applyAlignment="1">
      <alignment horizontal="center"/>
    </xf>
    <xf numFmtId="0" fontId="2" fillId="2" borderId="0" xfId="1" applyFont="1" applyFill="1" applyAlignment="1">
      <alignment horizontal="left"/>
    </xf>
    <xf numFmtId="0" fontId="2" fillId="2" borderId="30" xfId="1" applyFont="1" applyFill="1" applyBorder="1" applyAlignment="1">
      <alignment vertical="center"/>
    </xf>
    <xf numFmtId="0" fontId="2" fillId="2" borderId="31" xfId="1" applyFont="1" applyFill="1" applyBorder="1" applyAlignment="1">
      <alignment vertical="center"/>
    </xf>
    <xf numFmtId="0" fontId="2" fillId="2" borderId="48" xfId="1" applyFont="1" applyFill="1" applyBorder="1" applyAlignment="1">
      <alignment vertical="center"/>
    </xf>
    <xf numFmtId="0" fontId="2" fillId="3" borderId="48" xfId="1" applyFont="1" applyFill="1" applyBorder="1" applyAlignment="1">
      <alignment vertical="center"/>
    </xf>
    <xf numFmtId="0" fontId="2" fillId="2" borderId="43" xfId="1" applyFont="1" applyFill="1" applyBorder="1" applyAlignment="1">
      <alignment vertical="center"/>
    </xf>
    <xf numFmtId="0" fontId="20" fillId="2" borderId="0" xfId="2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0" fontId="8" fillId="2" borderId="44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right" vertical="center"/>
    </xf>
    <xf numFmtId="0" fontId="22" fillId="0" borderId="0" xfId="1" applyFont="1" applyAlignment="1">
      <alignment vertical="center"/>
    </xf>
    <xf numFmtId="0" fontId="22" fillId="3" borderId="0" xfId="1" applyFont="1" applyFill="1" applyAlignment="1">
      <alignment vertical="center"/>
    </xf>
    <xf numFmtId="167" fontId="11" fillId="4" borderId="40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167" fontId="13" fillId="4" borderId="38" xfId="1" applyNumberFormat="1" applyFont="1" applyFill="1" applyBorder="1" applyAlignment="1">
      <alignment horizontal="center" vertical="center" shrinkToFit="1"/>
    </xf>
    <xf numFmtId="167" fontId="2" fillId="0" borderId="38" xfId="1" applyNumberFormat="1" applyFont="1" applyBorder="1" applyAlignment="1">
      <alignment horizontal="center" vertical="center" shrinkToFit="1"/>
    </xf>
    <xf numFmtId="49" fontId="2" fillId="6" borderId="8" xfId="1" applyNumberFormat="1" applyFont="1" applyFill="1" applyBorder="1" applyAlignment="1">
      <alignment horizontal="center" vertical="center"/>
    </xf>
    <xf numFmtId="0" fontId="18" fillId="2" borderId="42" xfId="1" applyFont="1" applyFill="1" applyBorder="1" applyAlignment="1">
      <alignment vertical="center"/>
    </xf>
    <xf numFmtId="0" fontId="17" fillId="2" borderId="0" xfId="1" quotePrefix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168" fontId="5" fillId="2" borderId="50" xfId="3" applyNumberFormat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44" fontId="5" fillId="2" borderId="45" xfId="4" applyFont="1" applyFill="1" applyBorder="1" applyAlignment="1">
      <alignment vertical="center"/>
    </xf>
    <xf numFmtId="44" fontId="2" fillId="2" borderId="50" xfId="4" applyFont="1" applyFill="1" applyBorder="1" applyAlignment="1">
      <alignment vertical="center"/>
    </xf>
    <xf numFmtId="44" fontId="2" fillId="2" borderId="45" xfId="4" applyFont="1" applyFill="1" applyBorder="1" applyAlignment="1">
      <alignment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44" fontId="2" fillId="2" borderId="53" xfId="4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56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vertical="center"/>
    </xf>
    <xf numFmtId="0" fontId="5" fillId="2" borderId="38" xfId="1" applyFont="1" applyFill="1" applyBorder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167" fontId="11" fillId="2" borderId="0" xfId="1" applyNumberFormat="1" applyFont="1" applyFill="1" applyAlignment="1">
      <alignment horizontal="center" vertical="center"/>
    </xf>
    <xf numFmtId="167" fontId="11" fillId="2" borderId="0" xfId="1" applyNumberFormat="1" applyFont="1" applyFill="1" applyAlignment="1">
      <alignment vertical="center"/>
    </xf>
    <xf numFmtId="0" fontId="8" fillId="2" borderId="0" xfId="1" applyFont="1" applyFill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6" fillId="5" borderId="38" xfId="1" applyFont="1" applyFill="1" applyBorder="1" applyAlignment="1">
      <alignment horizontal="center" vertical="center" shrinkToFit="1"/>
    </xf>
    <xf numFmtId="0" fontId="2" fillId="0" borderId="38" xfId="1" applyFont="1" applyBorder="1" applyAlignment="1">
      <alignment horizontal="center" vertical="center"/>
    </xf>
    <xf numFmtId="0" fontId="2" fillId="0" borderId="38" xfId="1" applyFont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164" fontId="2" fillId="2" borderId="0" xfId="1" applyNumberFormat="1" applyFont="1" applyFill="1" applyAlignment="1">
      <alignment vertical="center"/>
    </xf>
    <xf numFmtId="0" fontId="23" fillId="2" borderId="42" xfId="1" applyFont="1" applyFill="1" applyBorder="1" applyAlignment="1">
      <alignment horizontal="left" vertical="top"/>
    </xf>
    <xf numFmtId="0" fontId="22" fillId="2" borderId="42" xfId="1" applyFont="1" applyFill="1" applyBorder="1" applyAlignment="1">
      <alignment vertical="center"/>
    </xf>
    <xf numFmtId="0" fontId="2" fillId="2" borderId="42" xfId="1" applyFont="1" applyFill="1" applyBorder="1" applyAlignment="1">
      <alignment horizontal="right" vertical="center"/>
    </xf>
    <xf numFmtId="0" fontId="2" fillId="0" borderId="40" xfId="1" applyFont="1" applyBorder="1" applyAlignment="1">
      <alignment vertical="center"/>
    </xf>
    <xf numFmtId="44" fontId="2" fillId="2" borderId="35" xfId="1" applyNumberFormat="1" applyFont="1" applyFill="1" applyBorder="1" applyAlignment="1">
      <alignment vertical="center"/>
    </xf>
    <xf numFmtId="0" fontId="11" fillId="0" borderId="39" xfId="1" applyFont="1" applyBorder="1" applyAlignment="1">
      <alignment vertical="center"/>
    </xf>
    <xf numFmtId="0" fontId="11" fillId="0" borderId="49" xfId="1" applyFont="1" applyBorder="1" applyAlignment="1">
      <alignment vertical="center"/>
    </xf>
    <xf numFmtId="0" fontId="2" fillId="2" borderId="56" xfId="1" applyFont="1" applyFill="1" applyBorder="1" applyAlignment="1">
      <alignment vertical="center"/>
    </xf>
    <xf numFmtId="0" fontId="2" fillId="7" borderId="38" xfId="1" applyFont="1" applyFill="1" applyBorder="1" applyAlignment="1">
      <alignment horizontal="center" vertical="center"/>
    </xf>
    <xf numFmtId="0" fontId="2" fillId="7" borderId="38" xfId="1" applyFont="1" applyFill="1" applyBorder="1" applyAlignment="1">
      <alignment vertical="center"/>
    </xf>
    <xf numFmtId="0" fontId="5" fillId="7" borderId="38" xfId="1" applyFont="1" applyFill="1" applyBorder="1" applyAlignment="1">
      <alignment horizontal="center" vertical="center"/>
    </xf>
    <xf numFmtId="0" fontId="2" fillId="6" borderId="39" xfId="5" applyNumberFormat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169" fontId="2" fillId="2" borderId="59" xfId="1" applyNumberFormat="1" applyFont="1" applyFill="1" applyBorder="1" applyAlignment="1">
      <alignment horizontal="center" vertical="center"/>
    </xf>
    <xf numFmtId="167" fontId="2" fillId="0" borderId="47" xfId="1" applyNumberFormat="1" applyFont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/>
    </xf>
    <xf numFmtId="0" fontId="28" fillId="0" borderId="0" xfId="6" applyFont="1"/>
    <xf numFmtId="0" fontId="28" fillId="0" borderId="1" xfId="6" applyFont="1" applyBorder="1"/>
    <xf numFmtId="0" fontId="28" fillId="0" borderId="2" xfId="6" applyFont="1" applyBorder="1"/>
    <xf numFmtId="0" fontId="28" fillId="0" borderId="3" xfId="6" applyFont="1" applyBorder="1"/>
    <xf numFmtId="0" fontId="28" fillId="0" borderId="12" xfId="6" applyFont="1" applyBorder="1"/>
    <xf numFmtId="0" fontId="29" fillId="0" borderId="38" xfId="6" applyFont="1" applyBorder="1" applyAlignment="1">
      <alignment horizontal="center" vertical="center"/>
    </xf>
    <xf numFmtId="0" fontId="28" fillId="0" borderId="44" xfId="6" applyFont="1" applyBorder="1"/>
    <xf numFmtId="0" fontId="28" fillId="0" borderId="13" xfId="6" applyFont="1" applyBorder="1"/>
    <xf numFmtId="0" fontId="28" fillId="0" borderId="38" xfId="6" applyFont="1" applyBorder="1" applyAlignment="1">
      <alignment horizontal="center" vertical="center"/>
    </xf>
    <xf numFmtId="0" fontId="28" fillId="0" borderId="13" xfId="6" applyFont="1" applyBorder="1" applyAlignment="1">
      <alignment shrinkToFit="1"/>
    </xf>
    <xf numFmtId="0" fontId="28" fillId="0" borderId="64" xfId="6" applyFont="1" applyBorder="1" applyAlignment="1">
      <alignment horizontal="center" vertical="center" shrinkToFit="1"/>
    </xf>
    <xf numFmtId="0" fontId="28" fillId="0" borderId="13" xfId="6" applyFont="1" applyBorder="1" applyAlignment="1">
      <alignment vertical="center" shrinkToFit="1"/>
    </xf>
    <xf numFmtId="49" fontId="28" fillId="0" borderId="64" xfId="6" applyNumberFormat="1" applyFont="1" applyBorder="1" applyAlignment="1">
      <alignment horizontal="center" vertical="center" shrinkToFit="1"/>
    </xf>
    <xf numFmtId="0" fontId="28" fillId="0" borderId="64" xfId="6" quotePrefix="1" applyFont="1" applyBorder="1" applyAlignment="1">
      <alignment horizontal="center" vertical="center" shrinkToFit="1"/>
    </xf>
    <xf numFmtId="49" fontId="0" fillId="0" borderId="64" xfId="6" applyNumberFormat="1" applyFont="1" applyBorder="1" applyAlignment="1">
      <alignment horizontal="center" vertical="center" shrinkToFit="1"/>
    </xf>
    <xf numFmtId="49" fontId="28" fillId="0" borderId="65" xfId="6" applyNumberFormat="1" applyFont="1" applyBorder="1" applyAlignment="1">
      <alignment horizontal="center" vertical="center" shrinkToFit="1"/>
    </xf>
    <xf numFmtId="49" fontId="28" fillId="0" borderId="67" xfId="6" applyNumberFormat="1" applyFont="1" applyBorder="1" applyAlignment="1">
      <alignment horizontal="center" vertical="center" shrinkToFit="1"/>
    </xf>
    <xf numFmtId="0" fontId="28" fillId="0" borderId="0" xfId="6" applyFont="1" applyAlignment="1">
      <alignment shrinkToFit="1"/>
    </xf>
    <xf numFmtId="0" fontId="31" fillId="0" borderId="0" xfId="6" applyFont="1" applyAlignment="1">
      <alignment vertical="center"/>
    </xf>
    <xf numFmtId="0" fontId="28" fillId="0" borderId="22" xfId="6" applyFont="1" applyBorder="1"/>
    <xf numFmtId="0" fontId="28" fillId="0" borderId="23" xfId="6" applyFont="1" applyBorder="1"/>
    <xf numFmtId="0" fontId="28" fillId="0" borderId="24" xfId="6" applyFont="1" applyBorder="1"/>
    <xf numFmtId="0" fontId="37" fillId="0" borderId="0" xfId="8" applyFont="1" applyAlignment="1">
      <alignment horizontal="left" vertical="center" readingOrder="1"/>
    </xf>
    <xf numFmtId="0" fontId="29" fillId="0" borderId="2" xfId="6" applyFont="1" applyBorder="1"/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33" fillId="0" borderId="60" xfId="6" applyFont="1" applyBorder="1" applyAlignment="1">
      <alignment vertical="center" shrinkToFit="1"/>
    </xf>
    <xf numFmtId="0" fontId="38" fillId="0" borderId="0" xfId="6" applyFont="1"/>
    <xf numFmtId="0" fontId="35" fillId="0" borderId="0" xfId="6" applyFont="1" applyAlignment="1">
      <alignment horizontal="center" vertical="center"/>
    </xf>
    <xf numFmtId="0" fontId="28" fillId="0" borderId="0" xfId="6" applyFont="1" applyAlignment="1">
      <alignment horizontal="center" shrinkToFit="1"/>
    </xf>
    <xf numFmtId="167" fontId="14" fillId="2" borderId="38" xfId="1" applyNumberFormat="1" applyFont="1" applyFill="1" applyBorder="1" applyAlignment="1">
      <alignment horizontal="center" vertical="center"/>
    </xf>
    <xf numFmtId="2" fontId="2" fillId="7" borderId="38" xfId="1" applyNumberFormat="1" applyFont="1" applyFill="1" applyBorder="1" applyAlignment="1">
      <alignment vertical="center"/>
    </xf>
    <xf numFmtId="2" fontId="2" fillId="2" borderId="51" xfId="1" applyNumberFormat="1" applyFont="1" applyFill="1" applyBorder="1" applyAlignment="1">
      <alignment vertical="center"/>
    </xf>
    <xf numFmtId="167" fontId="2" fillId="0" borderId="38" xfId="1" applyNumberFormat="1" applyFont="1" applyBorder="1" applyAlignment="1">
      <alignment vertical="center" shrinkToFit="1"/>
    </xf>
    <xf numFmtId="167" fontId="2" fillId="2" borderId="47" xfId="1" applyNumberFormat="1" applyFont="1" applyFill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 shrinkToFit="1"/>
    </xf>
    <xf numFmtId="0" fontId="40" fillId="2" borderId="42" xfId="1" applyFont="1" applyFill="1" applyBorder="1" applyAlignment="1">
      <alignment horizontal="left" vertical="center"/>
    </xf>
    <xf numFmtId="0" fontId="2" fillId="2" borderId="41" xfId="1" applyFont="1" applyFill="1" applyBorder="1" applyAlignment="1">
      <alignment horizontal="left" vertical="center"/>
    </xf>
    <xf numFmtId="0" fontId="2" fillId="6" borderId="38" xfId="1" applyFont="1" applyFill="1" applyBorder="1" applyAlignment="1">
      <alignment horizontal="center" vertical="center"/>
    </xf>
    <xf numFmtId="0" fontId="2" fillId="6" borderId="44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6" borderId="45" xfId="1" applyFont="1" applyFill="1" applyBorder="1" applyAlignment="1">
      <alignment vertical="center"/>
    </xf>
    <xf numFmtId="166" fontId="2" fillId="6" borderId="18" xfId="1" applyNumberFormat="1" applyFont="1" applyFill="1" applyBorder="1" applyAlignment="1">
      <alignment horizontal="center" vertical="center"/>
    </xf>
    <xf numFmtId="167" fontId="2" fillId="0" borderId="46" xfId="1" applyNumberFormat="1" applyFont="1" applyBorder="1" applyAlignment="1">
      <alignment horizontal="center" vertical="center" shrinkToFit="1"/>
    </xf>
    <xf numFmtId="0" fontId="2" fillId="6" borderId="44" xfId="1" applyFont="1" applyFill="1" applyBorder="1" applyAlignment="1">
      <alignment horizontal="left" vertical="center"/>
    </xf>
    <xf numFmtId="167" fontId="2" fillId="6" borderId="44" xfId="1" applyNumberFormat="1" applyFont="1" applyFill="1" applyBorder="1" applyAlignment="1">
      <alignment horizontal="left" vertical="center"/>
    </xf>
    <xf numFmtId="167" fontId="41" fillId="0" borderId="38" xfId="1" applyNumberFormat="1" applyFont="1" applyBorder="1" applyAlignment="1">
      <alignment horizontal="center" vertical="center" shrinkToFit="1"/>
    </xf>
    <xf numFmtId="167" fontId="41" fillId="0" borderId="47" xfId="1" applyNumberFormat="1" applyFont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/>
    </xf>
    <xf numFmtId="167" fontId="2" fillId="0" borderId="38" xfId="1" applyNumberFormat="1" applyFont="1" applyFill="1" applyBorder="1" applyAlignment="1">
      <alignment horizontal="center" vertical="center" shrinkToFit="1"/>
    </xf>
    <xf numFmtId="0" fontId="28" fillId="0" borderId="38" xfId="6" applyFont="1" applyBorder="1" applyAlignment="1">
      <alignment horizontal="left" vertical="center"/>
    </xf>
    <xf numFmtId="0" fontId="29" fillId="0" borderId="38" xfId="6" applyFont="1" applyBorder="1" applyAlignment="1">
      <alignment horizontal="left" vertical="center"/>
    </xf>
    <xf numFmtId="0" fontId="31" fillId="0" borderId="38" xfId="6" applyFont="1" applyBorder="1" applyAlignment="1">
      <alignment horizontal="center" vertical="center" wrapText="1"/>
    </xf>
    <xf numFmtId="0" fontId="32" fillId="7" borderId="38" xfId="6" applyFont="1" applyFill="1" applyBorder="1" applyAlignment="1"/>
    <xf numFmtId="0" fontId="33" fillId="7" borderId="38" xfId="6" applyFont="1" applyFill="1" applyBorder="1" applyAlignment="1"/>
    <xf numFmtId="0" fontId="28" fillId="0" borderId="39" xfId="6" applyFont="1" applyBorder="1" applyAlignment="1">
      <alignment horizontal="center"/>
    </xf>
    <xf numFmtId="0" fontId="28" fillId="0" borderId="49" xfId="6" applyFont="1" applyBorder="1" applyAlignment="1">
      <alignment horizontal="center"/>
    </xf>
    <xf numFmtId="0" fontId="28" fillId="0" borderId="40" xfId="6" applyFont="1" applyBorder="1" applyAlignment="1">
      <alignment horizontal="center"/>
    </xf>
    <xf numFmtId="0" fontId="30" fillId="0" borderId="41" xfId="6" applyFont="1" applyBorder="1" applyAlignment="1">
      <alignment horizontal="center" vertical="center"/>
    </xf>
    <xf numFmtId="0" fontId="30" fillId="0" borderId="42" xfId="6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0" fontId="30" fillId="0" borderId="30" xfId="6" applyFont="1" applyBorder="1" applyAlignment="1">
      <alignment horizontal="center" vertical="center"/>
    </xf>
    <xf numFmtId="0" fontId="30" fillId="0" borderId="31" xfId="6" applyFont="1" applyBorder="1" applyAlignment="1">
      <alignment horizontal="center" vertical="center"/>
    </xf>
    <xf numFmtId="0" fontId="30" fillId="0" borderId="48" xfId="6" applyFont="1" applyBorder="1" applyAlignment="1">
      <alignment horizontal="center" vertical="center"/>
    </xf>
    <xf numFmtId="0" fontId="28" fillId="0" borderId="38" xfId="6" applyFont="1" applyBorder="1" applyAlignment="1"/>
    <xf numFmtId="14" fontId="29" fillId="0" borderId="38" xfId="6" applyNumberFormat="1" applyFont="1" applyBorder="1" applyAlignment="1">
      <alignment horizontal="center" vertical="center" shrinkToFit="1"/>
    </xf>
    <xf numFmtId="0" fontId="29" fillId="0" borderId="39" xfId="6" applyFont="1" applyBorder="1" applyAlignment="1">
      <alignment horizontal="center" vertical="center" shrinkToFit="1"/>
    </xf>
    <xf numFmtId="0" fontId="29" fillId="0" borderId="49" xfId="6" applyFont="1" applyBorder="1" applyAlignment="1">
      <alignment horizontal="center" vertical="center" shrinkToFit="1"/>
    </xf>
    <xf numFmtId="0" fontId="29" fillId="0" borderId="40" xfId="6" applyFont="1" applyBorder="1" applyAlignment="1">
      <alignment horizontal="center" vertical="center" shrinkToFit="1"/>
    </xf>
    <xf numFmtId="0" fontId="29" fillId="0" borderId="39" xfId="6" applyFont="1" applyBorder="1" applyAlignment="1">
      <alignment horizontal="center" shrinkToFit="1"/>
    </xf>
    <xf numFmtId="0" fontId="29" fillId="0" borderId="18" xfId="6" applyFont="1" applyBorder="1" applyAlignment="1">
      <alignment horizontal="center" shrinkToFit="1"/>
    </xf>
    <xf numFmtId="14" fontId="29" fillId="0" borderId="39" xfId="6" applyNumberFormat="1" applyFont="1" applyBorder="1" applyAlignment="1">
      <alignment horizontal="center" vertical="center" shrinkToFit="1"/>
    </xf>
    <xf numFmtId="14" fontId="29" fillId="0" borderId="40" xfId="6" applyNumberFormat="1" applyFont="1" applyBorder="1" applyAlignment="1">
      <alignment horizontal="center" vertical="center" shrinkToFit="1"/>
    </xf>
    <xf numFmtId="0" fontId="33" fillId="0" borderId="61" xfId="6" applyFont="1" applyBorder="1" applyAlignment="1">
      <alignment horizontal="center" vertical="center" shrinkToFit="1"/>
    </xf>
    <xf numFmtId="0" fontId="33" fillId="0" borderId="62" xfId="6" applyFont="1" applyBorder="1" applyAlignment="1">
      <alignment horizontal="center" vertical="center" shrinkToFit="1"/>
    </xf>
    <xf numFmtId="0" fontId="33" fillId="0" borderId="63" xfId="6" applyFont="1" applyBorder="1" applyAlignment="1">
      <alignment horizontal="center" vertical="center" shrinkToFit="1"/>
    </xf>
    <xf numFmtId="0" fontId="33" fillId="0" borderId="8" xfId="6" applyFont="1" applyBorder="1" applyAlignment="1">
      <alignment horizontal="center" vertical="center" shrinkToFit="1"/>
    </xf>
    <xf numFmtId="170" fontId="29" fillId="0" borderId="39" xfId="6" quotePrefix="1" applyNumberFormat="1" applyFont="1" applyBorder="1" applyAlignment="1">
      <alignment horizontal="center" vertical="center" shrinkToFit="1"/>
    </xf>
    <xf numFmtId="170" fontId="29" fillId="0" borderId="40" xfId="6" quotePrefix="1" applyNumberFormat="1" applyFont="1" applyBorder="1" applyAlignment="1">
      <alignment horizontal="center" vertical="center" shrinkToFit="1"/>
    </xf>
    <xf numFmtId="14" fontId="29" fillId="0" borderId="39" xfId="6" quotePrefix="1" applyNumberFormat="1" applyFont="1" applyBorder="1" applyAlignment="1">
      <alignment horizontal="center" vertical="center" shrinkToFit="1"/>
    </xf>
    <xf numFmtId="14" fontId="29" fillId="0" borderId="40" xfId="6" quotePrefix="1" applyNumberFormat="1" applyFont="1" applyBorder="1" applyAlignment="1">
      <alignment horizontal="center" vertical="center" shrinkToFit="1"/>
    </xf>
    <xf numFmtId="14" fontId="34" fillId="0" borderId="39" xfId="6" applyNumberFormat="1" applyFont="1" applyBorder="1" applyAlignment="1">
      <alignment horizontal="center" vertical="center" shrinkToFit="1"/>
    </xf>
    <xf numFmtId="14" fontId="34" fillId="0" borderId="40" xfId="6" applyNumberFormat="1" applyFont="1" applyBorder="1" applyAlignment="1">
      <alignment horizontal="center" vertical="center" shrinkToFit="1"/>
    </xf>
    <xf numFmtId="0" fontId="34" fillId="0" borderId="39" xfId="6" applyFont="1" applyBorder="1" applyAlignment="1">
      <alignment horizontal="center" vertical="center" shrinkToFit="1"/>
    </xf>
    <xf numFmtId="0" fontId="34" fillId="0" borderId="49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29" fillId="0" borderId="68" xfId="6" applyFont="1" applyBorder="1" applyAlignment="1">
      <alignment horizontal="center" vertical="center" shrinkToFit="1"/>
    </xf>
    <xf numFmtId="0" fontId="29" fillId="0" borderId="69" xfId="6" applyFont="1" applyBorder="1" applyAlignment="1">
      <alignment horizontal="center" vertical="center" shrinkToFit="1"/>
    </xf>
    <xf numFmtId="0" fontId="29" fillId="0" borderId="59" xfId="6" applyFont="1" applyBorder="1" applyAlignment="1">
      <alignment horizontal="center" vertical="center" shrinkToFit="1"/>
    </xf>
    <xf numFmtId="0" fontId="29" fillId="0" borderId="68" xfId="6" applyFont="1" applyBorder="1" applyAlignment="1">
      <alignment horizontal="center" shrinkToFit="1"/>
    </xf>
    <xf numFmtId="0" fontId="29" fillId="0" borderId="35" xfId="6" applyFont="1" applyBorder="1" applyAlignment="1">
      <alignment horizontal="center" shrinkToFit="1"/>
    </xf>
    <xf numFmtId="0" fontId="28" fillId="0" borderId="41" xfId="6" applyFont="1" applyBorder="1" applyAlignment="1">
      <alignment horizontal="center" shrinkToFit="1"/>
    </xf>
    <xf numFmtId="0" fontId="28" fillId="0" borderId="43" xfId="6" applyFont="1" applyBorder="1" applyAlignment="1">
      <alignment horizontal="center" shrinkToFit="1"/>
    </xf>
    <xf numFmtId="0" fontId="28" fillId="0" borderId="44" xfId="6" applyFont="1" applyBorder="1" applyAlignment="1">
      <alignment horizontal="center" shrinkToFit="1"/>
    </xf>
    <xf numFmtId="0" fontId="28" fillId="0" borderId="45" xfId="6" applyFont="1" applyBorder="1" applyAlignment="1">
      <alignment horizontal="center" shrinkToFit="1"/>
    </xf>
    <xf numFmtId="0" fontId="28" fillId="0" borderId="30" xfId="6" applyFont="1" applyBorder="1" applyAlignment="1">
      <alignment horizontal="center" shrinkToFit="1"/>
    </xf>
    <xf numFmtId="0" fontId="28" fillId="0" borderId="48" xfId="6" applyFont="1" applyBorder="1" applyAlignment="1">
      <alignment horizontal="center" shrinkToFit="1"/>
    </xf>
    <xf numFmtId="0" fontId="35" fillId="0" borderId="0" xfId="6" applyFont="1" applyAlignment="1">
      <alignment horizontal="center" vertical="center"/>
    </xf>
    <xf numFmtId="0" fontId="30" fillId="0" borderId="23" xfId="6" applyFont="1" applyBorder="1" applyAlignment="1">
      <alignment horizontal="right"/>
    </xf>
    <xf numFmtId="0" fontId="28" fillId="0" borderId="39" xfId="7" applyFont="1" applyBorder="1" applyAlignment="1">
      <alignment horizontal="center" vertical="center"/>
    </xf>
    <xf numFmtId="0" fontId="28" fillId="0" borderId="40" xfId="7" applyFont="1" applyBorder="1" applyAlignment="1">
      <alignment horizontal="center" vertical="center"/>
    </xf>
    <xf numFmtId="0" fontId="28" fillId="0" borderId="0" xfId="6" applyFont="1" applyAlignment="1">
      <alignment horizontal="center" shrinkToFit="1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0" fontId="39" fillId="2" borderId="1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/>
    </xf>
    <xf numFmtId="0" fontId="39" fillId="2" borderId="3" xfId="1" applyFont="1" applyFill="1" applyBorder="1" applyAlignment="1">
      <alignment horizontal="center" vertical="center"/>
    </xf>
    <xf numFmtId="0" fontId="39" fillId="2" borderId="12" xfId="1" applyFont="1" applyFill="1" applyBorder="1" applyAlignment="1">
      <alignment horizontal="center" vertical="center"/>
    </xf>
    <xf numFmtId="0" fontId="39" fillId="2" borderId="0" xfId="1" applyFont="1" applyFill="1" applyAlignment="1">
      <alignment horizontal="center" vertical="center"/>
    </xf>
    <xf numFmtId="0" fontId="39" fillId="2" borderId="13" xfId="1" applyFont="1" applyFill="1" applyBorder="1" applyAlignment="1">
      <alignment horizontal="center" vertical="center"/>
    </xf>
    <xf numFmtId="0" fontId="39" fillId="2" borderId="22" xfId="1" applyFont="1" applyFill="1" applyBorder="1" applyAlignment="1">
      <alignment horizontal="center" vertical="center"/>
    </xf>
    <xf numFmtId="0" fontId="39" fillId="2" borderId="23" xfId="1" applyFont="1" applyFill="1" applyBorder="1" applyAlignment="1">
      <alignment horizontal="center" vertical="center"/>
    </xf>
    <xf numFmtId="0" fontId="39" fillId="2" borderId="24" xfId="1" applyFont="1" applyFill="1" applyBorder="1" applyAlignment="1">
      <alignment horizontal="center" vertical="center"/>
    </xf>
    <xf numFmtId="167" fontId="11" fillId="4" borderId="38" xfId="1" applyNumberFormat="1" applyFont="1" applyFill="1" applyBorder="1" applyAlignment="1">
      <alignment horizontal="center" vertical="center"/>
    </xf>
    <xf numFmtId="165" fontId="5" fillId="2" borderId="20" xfId="1" applyNumberFormat="1" applyFont="1" applyFill="1" applyBorder="1" applyAlignment="1">
      <alignment horizontal="center" vertical="center"/>
    </xf>
    <xf numFmtId="165" fontId="5" fillId="2" borderId="28" xfId="1" applyNumberFormat="1" applyFont="1" applyFill="1" applyBorder="1" applyAlignment="1">
      <alignment horizontal="center" vertical="center"/>
    </xf>
    <xf numFmtId="165" fontId="5" fillId="2" borderId="37" xfId="1" applyNumberFormat="1" applyFont="1" applyFill="1" applyBorder="1" applyAlignment="1">
      <alignment horizontal="center" vertical="center"/>
    </xf>
    <xf numFmtId="167" fontId="11" fillId="4" borderId="49" xfId="1" applyNumberFormat="1" applyFont="1" applyFill="1" applyBorder="1" applyAlignment="1">
      <alignment horizontal="center" vertical="center"/>
    </xf>
    <xf numFmtId="167" fontId="11" fillId="4" borderId="40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/>
    </xf>
    <xf numFmtId="0" fontId="7" fillId="2" borderId="22" xfId="1" applyFont="1" applyFill="1" applyBorder="1" applyAlignment="1">
      <alignment horizontal="left" vertical="center"/>
    </xf>
    <xf numFmtId="0" fontId="7" fillId="2" borderId="23" xfId="1" applyFont="1" applyFill="1" applyBorder="1" applyAlignment="1">
      <alignment horizontal="left" vertical="center"/>
    </xf>
    <xf numFmtId="0" fontId="7" fillId="2" borderId="24" xfId="1" applyFont="1" applyFill="1" applyBorder="1" applyAlignment="1">
      <alignment horizontal="left" vertical="center"/>
    </xf>
    <xf numFmtId="0" fontId="2" fillId="5" borderId="38" xfId="1" applyFont="1" applyFill="1" applyBorder="1" applyAlignment="1">
      <alignment horizontal="center" vertical="center" wrapText="1"/>
    </xf>
    <xf numFmtId="0" fontId="15" fillId="5" borderId="39" xfId="1" applyFont="1" applyFill="1" applyBorder="1" applyAlignment="1">
      <alignment horizontal="center" vertical="center" wrapText="1" shrinkToFit="1"/>
    </xf>
    <xf numFmtId="0" fontId="15" fillId="5" borderId="40" xfId="1" applyFont="1" applyFill="1" applyBorder="1" applyAlignment="1">
      <alignment horizontal="center" vertical="center" wrapText="1" shrinkToFit="1"/>
    </xf>
    <xf numFmtId="0" fontId="6" fillId="5" borderId="72" xfId="1" applyFont="1" applyFill="1" applyBorder="1" applyAlignment="1">
      <alignment horizontal="center" vertical="center"/>
    </xf>
    <xf numFmtId="0" fontId="6" fillId="5" borderId="73" xfId="1" applyFont="1" applyFill="1" applyBorder="1" applyAlignment="1">
      <alignment horizontal="center" vertical="center"/>
    </xf>
    <xf numFmtId="0" fontId="6" fillId="5" borderId="75" xfId="1" applyFont="1" applyFill="1" applyBorder="1" applyAlignment="1">
      <alignment horizontal="center" vertical="center"/>
    </xf>
    <xf numFmtId="0" fontId="6" fillId="5" borderId="76" xfId="1" applyFont="1" applyFill="1" applyBorder="1" applyAlignment="1">
      <alignment horizontal="center" vertical="center"/>
    </xf>
    <xf numFmtId="0" fontId="6" fillId="5" borderId="78" xfId="1" applyFont="1" applyFill="1" applyBorder="1" applyAlignment="1">
      <alignment horizontal="center" vertical="center"/>
    </xf>
    <xf numFmtId="0" fontId="6" fillId="5" borderId="79" xfId="1" applyFont="1" applyFill="1" applyBorder="1" applyAlignment="1">
      <alignment horizontal="center" vertical="center"/>
    </xf>
    <xf numFmtId="0" fontId="6" fillId="5" borderId="81" xfId="1" applyFont="1" applyFill="1" applyBorder="1" applyAlignment="1">
      <alignment horizontal="center" vertical="center"/>
    </xf>
    <xf numFmtId="0" fontId="6" fillId="5" borderId="8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11" fontId="5" fillId="2" borderId="5" xfId="1" applyNumberFormat="1" applyFont="1" applyFill="1" applyBorder="1" applyAlignment="1">
      <alignment horizontal="center" vertical="center" wrapText="1"/>
    </xf>
    <xf numFmtId="11" fontId="5" fillId="2" borderId="15" xfId="1" applyNumberFormat="1" applyFont="1" applyFill="1" applyBorder="1" applyAlignment="1">
      <alignment horizontal="center" vertical="center" wrapText="1"/>
    </xf>
    <xf numFmtId="11" fontId="5" fillId="2" borderId="26" xfId="1" applyNumberFormat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6" fillId="5" borderId="46" xfId="1" applyFont="1" applyFill="1" applyBorder="1" applyAlignment="1">
      <alignment horizontal="center" vertical="center" wrapText="1"/>
    </xf>
    <xf numFmtId="0" fontId="6" fillId="5" borderId="28" xfId="1" applyFont="1" applyFill="1" applyBorder="1" applyAlignment="1">
      <alignment horizontal="center" vertical="center" wrapText="1"/>
    </xf>
    <xf numFmtId="0" fontId="6" fillId="5" borderId="47" xfId="1" applyFont="1" applyFill="1" applyBorder="1" applyAlignment="1">
      <alignment horizontal="center" vertical="center" wrapText="1"/>
    </xf>
    <xf numFmtId="0" fontId="2" fillId="5" borderId="39" xfId="1" applyFont="1" applyFill="1" applyBorder="1" applyAlignment="1">
      <alignment horizontal="center" vertical="center" shrinkToFit="1"/>
    </xf>
    <xf numFmtId="0" fontId="2" fillId="5" borderId="40" xfId="1" applyFont="1" applyFill="1" applyBorder="1" applyAlignment="1">
      <alignment horizontal="center" vertical="center" shrinkToFit="1"/>
    </xf>
    <xf numFmtId="0" fontId="8" fillId="5" borderId="46" xfId="1" applyFont="1" applyFill="1" applyBorder="1" applyAlignment="1">
      <alignment horizontal="center" vertical="center" wrapText="1"/>
    </xf>
    <xf numFmtId="0" fontId="8" fillId="5" borderId="28" xfId="1" applyFont="1" applyFill="1" applyBorder="1" applyAlignment="1">
      <alignment horizontal="center" vertical="center" wrapText="1"/>
    </xf>
    <xf numFmtId="0" fontId="8" fillId="5" borderId="47" xfId="1" applyFont="1" applyFill="1" applyBorder="1" applyAlignment="1">
      <alignment horizontal="center" vertical="center" wrapText="1"/>
    </xf>
    <xf numFmtId="167" fontId="11" fillId="4" borderId="39" xfId="1" applyNumberFormat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shrinkToFit="1"/>
    </xf>
    <xf numFmtId="167" fontId="2" fillId="2" borderId="39" xfId="1" quotePrefix="1" applyNumberFormat="1" applyFont="1" applyFill="1" applyBorder="1" applyAlignment="1">
      <alignment horizontal="center" vertical="center" shrinkToFit="1"/>
    </xf>
    <xf numFmtId="167" fontId="2" fillId="2" borderId="40" xfId="1" quotePrefix="1" applyNumberFormat="1" applyFont="1" applyFill="1" applyBorder="1" applyAlignment="1">
      <alignment horizontal="center" vertical="center" shrinkToFit="1"/>
    </xf>
    <xf numFmtId="0" fontId="41" fillId="6" borderId="74" xfId="1" applyFont="1" applyFill="1" applyBorder="1" applyAlignment="1">
      <alignment horizontal="center" vertical="center" wrapText="1"/>
    </xf>
    <xf numFmtId="0" fontId="41" fillId="6" borderId="77" xfId="1" applyFont="1" applyFill="1" applyBorder="1" applyAlignment="1">
      <alignment horizontal="center" vertical="center" wrapText="1"/>
    </xf>
    <xf numFmtId="0" fontId="41" fillId="6" borderId="80" xfId="1" applyFont="1" applyFill="1" applyBorder="1" applyAlignment="1">
      <alignment horizontal="center" vertical="center" wrapText="1"/>
    </xf>
    <xf numFmtId="0" fontId="41" fillId="6" borderId="83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left" vertical="center"/>
    </xf>
    <xf numFmtId="0" fontId="7" fillId="2" borderId="30" xfId="1" applyFont="1" applyFill="1" applyBorder="1" applyAlignment="1">
      <alignment horizontal="left" vertical="center"/>
    </xf>
    <xf numFmtId="0" fontId="7" fillId="2" borderId="31" xfId="1" applyFont="1" applyFill="1" applyBorder="1" applyAlignment="1">
      <alignment horizontal="left" vertical="center"/>
    </xf>
    <xf numFmtId="0" fontId="7" fillId="2" borderId="32" xfId="1" applyFont="1" applyFill="1" applyBorder="1" applyAlignment="1">
      <alignment horizontal="left" vertical="center"/>
    </xf>
    <xf numFmtId="167" fontId="41" fillId="0" borderId="46" xfId="1" applyNumberFormat="1" applyFont="1" applyBorder="1" applyAlignment="1">
      <alignment horizontal="center" vertical="center" shrinkToFit="1"/>
    </xf>
    <xf numFmtId="167" fontId="41" fillId="0" borderId="47" xfId="1" applyNumberFormat="1" applyFont="1" applyBorder="1" applyAlignment="1">
      <alignment horizontal="center" vertical="center" shrinkToFit="1"/>
    </xf>
    <xf numFmtId="0" fontId="41" fillId="0" borderId="46" xfId="1" applyFont="1" applyBorder="1" applyAlignment="1">
      <alignment horizontal="center" vertical="center"/>
    </xf>
    <xf numFmtId="0" fontId="41" fillId="0" borderId="47" xfId="1" applyFont="1" applyBorder="1" applyAlignment="1">
      <alignment horizontal="center" vertical="center"/>
    </xf>
    <xf numFmtId="167" fontId="41" fillId="0" borderId="46" xfId="1" quotePrefix="1" applyNumberFormat="1" applyFont="1" applyBorder="1" applyAlignment="1">
      <alignment horizontal="center" vertical="center" shrinkToFit="1"/>
    </xf>
    <xf numFmtId="167" fontId="41" fillId="0" borderId="47" xfId="1" quotePrefix="1" applyNumberFormat="1" applyFont="1" applyBorder="1" applyAlignment="1">
      <alignment horizontal="center" vertical="center" shrinkToFit="1"/>
    </xf>
    <xf numFmtId="0" fontId="41" fillId="0" borderId="46" xfId="1" applyFont="1" applyBorder="1" applyAlignment="1">
      <alignment horizontal="center" vertical="center" shrinkToFit="1"/>
    </xf>
    <xf numFmtId="0" fontId="41" fillId="0" borderId="47" xfId="1" applyFont="1" applyBorder="1" applyAlignment="1">
      <alignment horizontal="center" vertical="center" shrinkToFit="1"/>
    </xf>
    <xf numFmtId="0" fontId="2" fillId="0" borderId="4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 shrinkToFit="1"/>
    </xf>
    <xf numFmtId="0" fontId="2" fillId="0" borderId="28" xfId="1" applyFont="1" applyBorder="1" applyAlignment="1">
      <alignment horizontal="center" vertical="center" shrinkToFit="1"/>
    </xf>
    <xf numFmtId="0" fontId="2" fillId="0" borderId="47" xfId="1" applyFont="1" applyBorder="1" applyAlignment="1">
      <alignment horizontal="center" vertical="center" shrinkToFit="1"/>
    </xf>
    <xf numFmtId="167" fontId="2" fillId="0" borderId="46" xfId="1" applyNumberFormat="1" applyFont="1" applyBorder="1" applyAlignment="1">
      <alignment horizontal="center" vertical="center" shrinkToFit="1"/>
    </xf>
    <xf numFmtId="167" fontId="2" fillId="0" borderId="47" xfId="1" applyNumberFormat="1" applyFont="1" applyBorder="1" applyAlignment="1">
      <alignment horizontal="center" vertical="center" shrinkToFit="1"/>
    </xf>
    <xf numFmtId="167" fontId="2" fillId="0" borderId="46" xfId="1" quotePrefix="1" applyNumberFormat="1" applyFont="1" applyBorder="1" applyAlignment="1">
      <alignment horizontal="center" vertical="center" shrinkToFit="1"/>
    </xf>
    <xf numFmtId="167" fontId="2" fillId="0" borderId="47" xfId="1" quotePrefix="1" applyNumberFormat="1" applyFont="1" applyBorder="1" applyAlignment="1">
      <alignment horizontal="center" vertical="center" shrinkToFit="1"/>
    </xf>
    <xf numFmtId="167" fontId="2" fillId="0" borderId="28" xfId="1" applyNumberFormat="1" applyFont="1" applyBorder="1" applyAlignment="1">
      <alignment horizontal="center" vertical="center" shrinkToFit="1"/>
    </xf>
    <xf numFmtId="167" fontId="2" fillId="0" borderId="28" xfId="1" quotePrefix="1" applyNumberFormat="1" applyFont="1" applyBorder="1" applyAlignment="1">
      <alignment horizontal="center" vertical="center" shrinkToFit="1"/>
    </xf>
    <xf numFmtId="0" fontId="11" fillId="0" borderId="39" xfId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6" borderId="39" xfId="1" applyFont="1" applyFill="1" applyBorder="1" applyAlignment="1">
      <alignment horizontal="left" vertical="center"/>
    </xf>
    <xf numFmtId="0" fontId="2" fillId="6" borderId="40" xfId="1" applyFont="1" applyFill="1" applyBorder="1" applyAlignment="1">
      <alignment horizontal="left" vertical="center"/>
    </xf>
    <xf numFmtId="0" fontId="2" fillId="2" borderId="23" xfId="1" applyFont="1" applyFill="1" applyBorder="1" applyAlignment="1">
      <alignment horizontal="left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5" fillId="6" borderId="39" xfId="1" applyFont="1" applyFill="1" applyBorder="1" applyAlignment="1">
      <alignment horizontal="center" vertical="center"/>
    </xf>
    <xf numFmtId="0" fontId="5" fillId="6" borderId="49" xfId="1" applyFont="1" applyFill="1" applyBorder="1" applyAlignment="1">
      <alignment horizontal="center" vertical="center"/>
    </xf>
    <xf numFmtId="0" fontId="5" fillId="6" borderId="40" xfId="1" applyFont="1" applyFill="1" applyBorder="1" applyAlignment="1">
      <alignment horizontal="center" vertical="center"/>
    </xf>
    <xf numFmtId="0" fontId="39" fillId="2" borderId="3" xfId="1" applyFont="1" applyFill="1" applyBorder="1" applyAlignment="1">
      <alignment horizontal="center" vertical="center" wrapText="1"/>
    </xf>
    <xf numFmtId="0" fontId="39" fillId="2" borderId="12" xfId="1" applyFont="1" applyFill="1" applyBorder="1" applyAlignment="1">
      <alignment horizontal="center" vertical="center" wrapText="1"/>
    </xf>
    <xf numFmtId="0" fontId="39" fillId="2" borderId="0" xfId="1" applyFont="1" applyFill="1" applyAlignment="1">
      <alignment horizontal="center" vertical="center" wrapText="1"/>
    </xf>
    <xf numFmtId="0" fontId="39" fillId="2" borderId="13" xfId="1" applyFont="1" applyFill="1" applyBorder="1" applyAlignment="1">
      <alignment horizontal="center" vertical="center" wrapText="1"/>
    </xf>
    <xf numFmtId="0" fontId="39" fillId="2" borderId="22" xfId="1" applyFont="1" applyFill="1" applyBorder="1" applyAlignment="1">
      <alignment horizontal="center" vertical="center" wrapText="1"/>
    </xf>
    <xf numFmtId="0" fontId="39" fillId="2" borderId="23" xfId="1" applyFont="1" applyFill="1" applyBorder="1" applyAlignment="1">
      <alignment horizontal="center" vertical="center" wrapText="1"/>
    </xf>
    <xf numFmtId="0" fontId="39" fillId="2" borderId="24" xfId="1" applyFont="1" applyFill="1" applyBorder="1" applyAlignment="1">
      <alignment horizontal="center" vertical="center" wrapText="1"/>
    </xf>
    <xf numFmtId="11" fontId="5" fillId="2" borderId="70" xfId="1" applyNumberFormat="1" applyFont="1" applyFill="1" applyBorder="1" applyAlignment="1">
      <alignment horizontal="center" vertical="center" wrapText="1"/>
    </xf>
    <xf numFmtId="11" fontId="5" fillId="2" borderId="0" xfId="1" applyNumberFormat="1" applyFont="1" applyFill="1" applyAlignment="1">
      <alignment horizontal="center" vertical="center" wrapText="1"/>
    </xf>
    <xf numFmtId="11" fontId="5" fillId="2" borderId="13" xfId="1" applyNumberFormat="1" applyFont="1" applyFill="1" applyBorder="1" applyAlignment="1">
      <alignment horizontal="center" vertical="center" wrapText="1"/>
    </xf>
    <xf numFmtId="11" fontId="5" fillId="2" borderId="71" xfId="1" applyNumberFormat="1" applyFont="1" applyFill="1" applyBorder="1" applyAlignment="1">
      <alignment horizontal="center" vertical="center" wrapText="1"/>
    </xf>
    <xf numFmtId="11" fontId="5" fillId="2" borderId="23" xfId="1" applyNumberFormat="1" applyFont="1" applyFill="1" applyBorder="1" applyAlignment="1">
      <alignment horizontal="center" vertical="center" wrapText="1"/>
    </xf>
    <xf numFmtId="11" fontId="5" fillId="2" borderId="24" xfId="1" applyNumberFormat="1" applyFont="1" applyFill="1" applyBorder="1" applyAlignment="1">
      <alignment horizontal="center" vertical="center" wrapText="1"/>
    </xf>
    <xf numFmtId="0" fontId="2" fillId="2" borderId="46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5" fillId="2" borderId="49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166" fontId="2" fillId="2" borderId="58" xfId="1" applyNumberFormat="1" applyFont="1" applyFill="1" applyBorder="1" applyAlignment="1">
      <alignment horizontal="center" vertical="center"/>
    </xf>
    <xf numFmtId="166" fontId="2" fillId="2" borderId="18" xfId="1" applyNumberFormat="1" applyFont="1" applyFill="1" applyBorder="1" applyAlignment="1">
      <alignment horizontal="center" vertical="center"/>
    </xf>
  </cellXfs>
  <cellStyles count="9">
    <cellStyle name="Comma [0] 2" xfId="5"/>
    <cellStyle name="Comma 2" xfId="3"/>
    <cellStyle name="Currency 2" xfId="4"/>
    <cellStyle name="Normal" xfId="0" builtinId="0"/>
    <cellStyle name="Normal 2" xfId="8"/>
    <cellStyle name="標準_100422-0082_100422_APTL9p_TSL_2H6" xfId="2"/>
    <cellStyle name="標準_教育手順者" xfId="6"/>
    <cellStyle name="標準_標準ユニット仕様一覧_100225" xfId="1"/>
    <cellStyle name="標準_製品開発計画書（第二設計部）" xfId="7"/>
  </cellStyles>
  <dxfs count="0"/>
  <tableStyles count="0" defaultTableStyle="TableStyleMedium2" defaultPivotStyle="PivotStyleLight16"/>
  <colors>
    <mruColors>
      <color rgb="FFF73737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image" Target="../media/image7.emf"/><Relationship Id="rId7" Type="http://schemas.openxmlformats.org/officeDocument/2006/relationships/image" Target="../media/image11.png"/><Relationship Id="rId2" Type="http://schemas.openxmlformats.org/officeDocument/2006/relationships/image" Target="../media/image6.emf"/><Relationship Id="rId1" Type="http://schemas.openxmlformats.org/officeDocument/2006/relationships/image" Target="../media/image3.png"/><Relationship Id="rId6" Type="http://schemas.openxmlformats.org/officeDocument/2006/relationships/image" Target="../media/image10.jpeg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254891</xdr:colOff>
      <xdr:row>5</xdr:row>
      <xdr:rowOff>159331</xdr:rowOff>
    </xdr:from>
    <xdr:ext cx="2156617" cy="4119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3826" y="1053853"/>
          <a:ext cx="2156617" cy="411972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2000">
              <a:solidFill>
                <a:srgbClr val="FF0000"/>
              </a:solidFill>
              <a:latin typeface="Gill Sans Ultra Bold" pitchFamily="34" charset="0"/>
            </a:rPr>
            <a:t>Confidential</a:t>
          </a:r>
        </a:p>
      </xdr:txBody>
    </xdr:sp>
    <xdr:clientData/>
  </xdr:oneCellAnchor>
  <xdr:twoCellAnchor editAs="oneCell">
    <xdr:from>
      <xdr:col>5</xdr:col>
      <xdr:colOff>140595</xdr:colOff>
      <xdr:row>49</xdr:row>
      <xdr:rowOff>23452</xdr:rowOff>
    </xdr:from>
    <xdr:to>
      <xdr:col>6</xdr:col>
      <xdr:colOff>69850</xdr:colOff>
      <xdr:row>52</xdr:row>
      <xdr:rowOff>77162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895" y="8062552"/>
          <a:ext cx="592195" cy="488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1911967</xdr:colOff>
      <xdr:row>89</xdr:row>
      <xdr:rowOff>178970</xdr:rowOff>
    </xdr:from>
    <xdr:to>
      <xdr:col>12</xdr:col>
      <xdr:colOff>313765</xdr:colOff>
      <xdr:row>95</xdr:row>
      <xdr:rowOff>196312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8673" y="18529723"/>
          <a:ext cx="2337304" cy="1254471"/>
        </a:xfrm>
        <a:prstGeom prst="rect">
          <a:avLst/>
        </a:prstGeom>
      </xdr:spPr>
    </xdr:pic>
    <xdr:clientData/>
  </xdr:twoCellAnchor>
  <xdr:oneCellAnchor>
    <xdr:from>
      <xdr:col>7</xdr:col>
      <xdr:colOff>160588</xdr:colOff>
      <xdr:row>101</xdr:row>
      <xdr:rowOff>181306</xdr:rowOff>
    </xdr:from>
    <xdr:ext cx="1933341" cy="4054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435882" y="21006318"/>
          <a:ext cx="193334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BOTTOM VIEW</a:t>
          </a:r>
        </a:p>
      </xdr:txBody>
    </xdr:sp>
    <xdr:clientData/>
  </xdr:oneCellAnchor>
  <xdr:oneCellAnchor>
    <xdr:from>
      <xdr:col>3</xdr:col>
      <xdr:colOff>861344</xdr:colOff>
      <xdr:row>101</xdr:row>
      <xdr:rowOff>174511</xdr:rowOff>
    </xdr:from>
    <xdr:ext cx="1285418" cy="40543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663250" y="20999523"/>
          <a:ext cx="128541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TOP VIEW</a:t>
          </a:r>
        </a:p>
      </xdr:txBody>
    </xdr:sp>
    <xdr:clientData/>
  </xdr:oneCellAnchor>
  <xdr:twoCellAnchor editAs="oneCell">
    <xdr:from>
      <xdr:col>1</xdr:col>
      <xdr:colOff>90985</xdr:colOff>
      <xdr:row>0</xdr:row>
      <xdr:rowOff>68239</xdr:rowOff>
    </xdr:from>
    <xdr:to>
      <xdr:col>2</xdr:col>
      <xdr:colOff>90986</xdr:colOff>
      <xdr:row>2</xdr:row>
      <xdr:rowOff>170596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43" y="68239"/>
          <a:ext cx="568658" cy="5117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169076</xdr:colOff>
      <xdr:row>88</xdr:row>
      <xdr:rowOff>162056</xdr:rowOff>
    </xdr:from>
    <xdr:ext cx="287696" cy="73678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 rot="16200000">
          <a:off x="52106" y="18531167"/>
          <a:ext cx="736788" cy="287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18.885</a:t>
          </a:r>
          <a:endParaRPr lang="en-US" sz="1100" b="1"/>
        </a:p>
      </xdr:txBody>
    </xdr:sp>
    <xdr:clientData/>
  </xdr:oneCellAnchor>
  <xdr:twoCellAnchor>
    <xdr:from>
      <xdr:col>1</xdr:col>
      <xdr:colOff>439872</xdr:colOff>
      <xdr:row>87</xdr:row>
      <xdr:rowOff>35859</xdr:rowOff>
    </xdr:from>
    <xdr:to>
      <xdr:col>1</xdr:col>
      <xdr:colOff>439872</xdr:colOff>
      <xdr:row>94</xdr:row>
      <xdr:rowOff>17930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538484" y="17974235"/>
          <a:ext cx="0" cy="1425389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179294</xdr:colOff>
      <xdr:row>85</xdr:row>
      <xdr:rowOff>200586</xdr:rowOff>
    </xdr:from>
    <xdr:to>
      <xdr:col>3</xdr:col>
      <xdr:colOff>2026023</xdr:colOff>
      <xdr:row>85</xdr:row>
      <xdr:rowOff>200586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51647" y="17726586"/>
          <a:ext cx="2976282" cy="0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182095</xdr:colOff>
      <xdr:row>84</xdr:row>
      <xdr:rowOff>94690</xdr:rowOff>
    </xdr:from>
    <xdr:ext cx="5777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1984001" y="17414502"/>
          <a:ext cx="5777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39.176</a:t>
          </a:r>
          <a:endParaRPr lang="en-US" sz="1100" b="1"/>
        </a:p>
      </xdr:txBody>
    </xdr:sp>
    <xdr:clientData/>
  </xdr:oneCellAnchor>
  <xdr:twoCellAnchor>
    <xdr:from>
      <xdr:col>10</xdr:col>
      <xdr:colOff>1540258</xdr:colOff>
      <xdr:row>92</xdr:row>
      <xdr:rowOff>129540</xdr:rowOff>
    </xdr:from>
    <xdr:to>
      <xdr:col>10</xdr:col>
      <xdr:colOff>2255520</xdr:colOff>
      <xdr:row>93</xdr:row>
      <xdr:rowOff>4329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34" idx="3"/>
        </xdr:cNvCxnSpPr>
      </xdr:nvCxnSpPr>
      <xdr:spPr>
        <a:xfrm flipV="1">
          <a:off x="11248138" y="19057620"/>
          <a:ext cx="715262" cy="8052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584294</xdr:colOff>
      <xdr:row>91</xdr:row>
      <xdr:rowOff>158334</xdr:rowOff>
    </xdr:from>
    <xdr:ext cx="955964" cy="51494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0292174" y="18880674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Input Connector Soldering Location</a:t>
          </a:r>
          <a:r>
            <a:rPr lang="en-US" sz="900" b="1"/>
            <a:t> </a:t>
          </a:r>
        </a:p>
      </xdr:txBody>
    </xdr:sp>
    <xdr:clientData/>
  </xdr:oneCellAnchor>
  <xdr:twoCellAnchor editAs="oneCell">
    <xdr:from>
      <xdr:col>3</xdr:col>
      <xdr:colOff>188295</xdr:colOff>
      <xdr:row>81</xdr:row>
      <xdr:rowOff>98612</xdr:rowOff>
    </xdr:from>
    <xdr:to>
      <xdr:col>5</xdr:col>
      <xdr:colOff>63984</xdr:colOff>
      <xdr:row>101</xdr:row>
      <xdr:rowOff>18875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201" y="16799859"/>
          <a:ext cx="2717501" cy="4044028"/>
        </a:xfrm>
        <a:prstGeom prst="rect">
          <a:avLst/>
        </a:prstGeom>
      </xdr:spPr>
    </xdr:pic>
    <xdr:clientData/>
  </xdr:twoCellAnchor>
  <xdr:twoCellAnchor editAs="oneCell">
    <xdr:from>
      <xdr:col>6</xdr:col>
      <xdr:colOff>460906</xdr:colOff>
      <xdr:row>81</xdr:row>
      <xdr:rowOff>37887</xdr:rowOff>
    </xdr:from>
    <xdr:to>
      <xdr:col>8</xdr:col>
      <xdr:colOff>670687</xdr:colOff>
      <xdr:row>100</xdr:row>
      <xdr:rowOff>132115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212" y="16739134"/>
          <a:ext cx="2325451" cy="4011805"/>
        </a:xfrm>
        <a:prstGeom prst="rect">
          <a:avLst/>
        </a:prstGeom>
      </xdr:spPr>
    </xdr:pic>
    <xdr:clientData/>
  </xdr:twoCellAnchor>
  <xdr:oneCellAnchor>
    <xdr:from>
      <xdr:col>12</xdr:col>
      <xdr:colOff>591914</xdr:colOff>
      <xdr:row>91</xdr:row>
      <xdr:rowOff>104994</xdr:rowOff>
    </xdr:from>
    <xdr:ext cx="955964" cy="514949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4231714" y="18827334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USB Connector Soldering Location</a:t>
          </a:r>
          <a:endParaRPr lang="en-US" sz="900" b="1"/>
        </a:p>
      </xdr:txBody>
    </xdr:sp>
    <xdr:clientData/>
  </xdr:oneCellAnchor>
  <xdr:twoCellAnchor>
    <xdr:from>
      <xdr:col>11</xdr:col>
      <xdr:colOff>1059180</xdr:colOff>
      <xdr:row>92</xdr:row>
      <xdr:rowOff>15857</xdr:rowOff>
    </xdr:from>
    <xdr:to>
      <xdr:col>12</xdr:col>
      <xdr:colOff>580138</xdr:colOff>
      <xdr:row>92</xdr:row>
      <xdr:rowOff>160020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H="1">
          <a:off x="13571220" y="18943937"/>
          <a:ext cx="648718" cy="144163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112141</xdr:colOff>
      <xdr:row>0</xdr:row>
      <xdr:rowOff>66856</xdr:rowOff>
    </xdr:from>
    <xdr:to>
      <xdr:col>2</xdr:col>
      <xdr:colOff>105705</xdr:colOff>
      <xdr:row>2</xdr:row>
      <xdr:rowOff>176080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21" y="66856"/>
          <a:ext cx="565064" cy="5207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12700</xdr:colOff>
      <xdr:row>48</xdr:row>
      <xdr:rowOff>38100</xdr:rowOff>
    </xdr:from>
    <xdr:to>
      <xdr:col>10</xdr:col>
      <xdr:colOff>1612900</xdr:colOff>
      <xdr:row>60</xdr:row>
      <xdr:rowOff>50800</xdr:rowOff>
    </xdr:to>
    <xdr:sp macro="" textlink="">
      <xdr:nvSpPr>
        <xdr:cNvPr id="16" name="Rectangle 15"/>
        <xdr:cNvSpPr/>
      </xdr:nvSpPr>
      <xdr:spPr>
        <a:xfrm>
          <a:off x="3721100" y="9791700"/>
          <a:ext cx="5676900" cy="24511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54427</xdr:colOff>
      <xdr:row>22</xdr:row>
      <xdr:rowOff>174171</xdr:rowOff>
    </xdr:from>
    <xdr:to>
      <xdr:col>12</xdr:col>
      <xdr:colOff>895710</xdr:colOff>
      <xdr:row>42</xdr:row>
      <xdr:rowOff>21772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1" y="4724400"/>
          <a:ext cx="11171826" cy="398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413658</xdr:colOff>
      <xdr:row>8</xdr:row>
      <xdr:rowOff>32656</xdr:rowOff>
    </xdr:from>
    <xdr:to>
      <xdr:col>6</xdr:col>
      <xdr:colOff>477743</xdr:colOff>
      <xdr:row>19</xdr:row>
      <xdr:rowOff>90786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629" y="1687285"/>
          <a:ext cx="4603428" cy="2333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8</xdr:row>
      <xdr:rowOff>195943</xdr:rowOff>
    </xdr:from>
    <xdr:to>
      <xdr:col>11</xdr:col>
      <xdr:colOff>793180</xdr:colOff>
      <xdr:row>18</xdr:row>
      <xdr:rowOff>25784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4571" y="1850572"/>
          <a:ext cx="3623466" cy="1898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1589314</xdr:colOff>
      <xdr:row>45</xdr:row>
      <xdr:rowOff>185056</xdr:rowOff>
    </xdr:from>
    <xdr:to>
      <xdr:col>12</xdr:col>
      <xdr:colOff>63008</xdr:colOff>
      <xdr:row>58</xdr:row>
      <xdr:rowOff>167534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3485" y="9492342"/>
          <a:ext cx="1684980" cy="2671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195943</xdr:colOff>
      <xdr:row>62</xdr:row>
      <xdr:rowOff>185058</xdr:rowOff>
    </xdr:from>
    <xdr:to>
      <xdr:col>9</xdr:col>
      <xdr:colOff>371670</xdr:colOff>
      <xdr:row>86</xdr:row>
      <xdr:rowOff>198121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14" y="13008429"/>
          <a:ext cx="7109927" cy="497694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544285</xdr:colOff>
      <xdr:row>62</xdr:row>
      <xdr:rowOff>181050</xdr:rowOff>
    </xdr:from>
    <xdr:to>
      <xdr:col>11</xdr:col>
      <xdr:colOff>261257</xdr:colOff>
      <xdr:row>81</xdr:row>
      <xdr:rowOff>83080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6456" y="13004421"/>
          <a:ext cx="2699658" cy="3831773"/>
        </a:xfrm>
        <a:prstGeom prst="rect">
          <a:avLst/>
        </a:prstGeom>
      </xdr:spPr>
    </xdr:pic>
    <xdr:clientData/>
  </xdr:twoCellAnchor>
  <xdr:twoCellAnchor editAs="oneCell">
    <xdr:from>
      <xdr:col>3</xdr:col>
      <xdr:colOff>54427</xdr:colOff>
      <xdr:row>46</xdr:row>
      <xdr:rowOff>56317</xdr:rowOff>
    </xdr:from>
    <xdr:to>
      <xdr:col>8</xdr:col>
      <xdr:colOff>315686</xdr:colOff>
      <xdr:row>58</xdr:row>
      <xdr:rowOff>32658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56" y="9570431"/>
          <a:ext cx="4702630" cy="245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71174</xdr:colOff>
      <xdr:row>0</xdr:row>
      <xdr:rowOff>59454</xdr:rowOff>
    </xdr:from>
    <xdr:to>
      <xdr:col>2</xdr:col>
      <xdr:colOff>225931</xdr:colOff>
      <xdr:row>2</xdr:row>
      <xdr:rowOff>158127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31" y="59454"/>
          <a:ext cx="568414" cy="512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10042S3\100423f3\&#31649;&#29702;&#35506;\NISHIUTI\&#30456;&#27169;&#21407;\01&#24180;&#24230;&#36009;&#31038;&#12463;&#12524;&#12540;&#12512;&#21066;&#28187;&#35336;&#3001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91\Design\Users\lenovo\AppData\Local\Microsoft\Windows\Temporary%20Internet%20Files\Content.Outlook\XYE6N3RI\Sales\Production%20Planning\Monthly%2020%20Day%20Docs\20%20day%20bo%20Mar%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bff1100kama\d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0.209\n-bps\DOCUME~1\netuser\LOCALS~1\Temp\&#27874;&#22810;&#37326;&#29992;&#65288;&#29983;&#28310;&#65289;\&#21021;&#26399;&#27969;&#21205;RFQ&#38306;&#36899;&#36039;&#26009;\L53A&#35211;&#31309;&#12426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413;&#20385;&#26376;&#22577;(&#23455;&#39443;)\&#35430;&#39443;&#22577;&#21578;&#20250;\L\Y210(D01A)\~&#38598;&#353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qm01\c\ISO-9000\Office%20of%20Quality%20Management\IQA\IQA4t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KA\&#37327;&#29987;\&#32013;&#20837;&#19981;&#33391;&#31649;&#29702;\2004&#24180;&#24230;\04&#24180;&#32013;&#20837;&#19981;&#33391;&#19968;&#35239;\&#9733;04&#24180;&#24230;&#21697;&#35388;&#20108;&#35506;&#32013;&#20837;&#19981;&#33391;&#19968;&#35239;(&#23436;&#25104;)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TestB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Thailan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&#12304;LLC&#12305;&#37504;&#12506;&#12540;&#12473;&#12488;&#23569;&#37327;&#23550;&#31574;_081017%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QREGr&#12501;&#12457;&#12523;&#12480;\545N&#38306;&#20418;(&#26978;&#26408;&#37326;00&#24180;12&#26376;&#65374;05&#24180;12&#26376;&#65289;\QRE&#32207;&#20250;&#31532;&#65299;&#22238;&#36039;&#26009;\QRE&#32207;&#20250;&#31532;3&#22238;&#12398;&#36914;&#12417;&#2604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00s001\kc\&#26032;&#35069;&#21697;&#65296;\141%20&#26032;&#35069;&#21697;&#36554;&#20001;&#24773;&#22577;&#20840;&#33324;(&#26862;)\110L\&#65299;&#65316;&#65293;&#65323;&#65300;&#26908;&#35342;&#29992;&#19981;&#20855;&#21512;&#24773;&#22577;\&#22806;&#35013;&#12288;&#27178;&#24029;\&#12467;&#12511;&#12517;&#12491;&#12465;&#12540;&#12471;&#12519;&#12531;&#19968;&#35239;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d-storage-02\data\1KA\&#20491;&#20154;&#12501;&#12449;&#12452;&#12523;\&#20037;&#20445;&#24029;\&#20840;&#31038;&#21697;&#36074;&#20250;&#35696;\&#21697;&#36074;&#25913;&#21892;&#20250;&#35696;&#21442;&#30011;&#25552;&#266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5174C\&#28193;&#36794;\My%20Documents\&#28193;&#36794;\&#31263;&#35696;&#26360;\&#29105;&#26495;&#27231;&#31263;&#35696;&#26360;\&#31263;&#35696;&#26360;&#12469;&#12531;&#12503;&#12523;\&#21442;&#32771;&#36039;&#26009;\&#35373;&#20633;&#25237;&#36039;&#35336;&#31639;&#26360;&#12398;&#20363;&#389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YUKAKO\&#32207;&#25324;&#34920;\96&#24180;&#24230;\&#32013;&#20837;\&#32013;&#20837;XX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KA\&#20037;&#20445;&#24029;\&#32013;&#20837;&#19981;&#33391;\2001&#24180;&#24230;\TOYOTA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29983;&#29987;&#31649;&#29702;&#12471;&#12473;&#12486;&#12512;\&#30446;&#27425;&#23567;&#23798;.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windows\TEMP\&#29983;&#28310;L&#65295;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K26&#19981;&#28783;&#20877;&#30330;_LLC_0907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24066;&#22580;&#12539;&#32013;&#20837;&#12398;&#35299;&#26512;&amp;&#20107;&#20363;&#30331;&#37682;&#26360;_&#25913;_0301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&#38598;&#35336;%20&#24037;&#22580;&#12487;&#12540;&#12479;\&#24037;&#22580;&#12487;&#12540;&#12479;&#20966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2013;&#20837;&#12539;&#24066;&#22580;%20&#35299;&#26512;&amp;&#20107;&#20363;&#30331;&#37682;&#26360;&#25913;&#35330;&#65308;&#21407;&#32025;&#6531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5914;&#30000;&#32340;&#27231;\&#65424;&#65431;&#65392;&#25913;&#21892;&#35336;&#30011;&#26360;(&#31532;2&#22238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2013;&#20837;&#19981;&#33391;\TOYOTA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4514B\&#36009;&#22770;&#35336;&#30011;\nagai\&#36009;&#22770;&#35336;&#30011;\0107&#26376;&#29256;\&#22411;&#22343;&#31561;\2001&#19979;&#26399;&#22411;&#22343;&#31561;&#12414;&#12392;&#1241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windows\TEMP\F-B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07V4C\&#22806;&#20184;HDD(A)\&#65316;&#12288;&#12288;&#12501;&#12457;&#12523;&#12480;\&#25080;&#26696;&#36914;&#34892;&#20013;&#35506;&#38988;\JEMCO&#23550;&#24540;&#27963;&#21205;\&#65420;&#65439;&#65435;&#65404;&#65438;&#65386;&#65400;&#65412;Y2\&#65420;&#65439;&#65435;&#65404;&#65438;&#65386;&#65400;&#65412;Y2\&#38283;&#30330;&#37096;&#38272;&#38306;&#36899;&#36039;&#26009;\041104%20&#30740;&#31350;&#38283;&#30330;&#37096;&#12363;&#12425;&#20837;&#25163;&#12288;&#24037;&#25968;&#20998;&#26512;&#34920;\S13&#35373;&#35336;&#20803;&#21513;&#26989;&#21209;&#38598;&#353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24037;&#25968;&#20837;&#21147;&#21407;&#32025;&#65288;&#12503;&#12525;&#12472;&#12455;&#12463;&#12488;Y&#6528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&#25993;&#26408;\&#65296;&#65299;&#65329;&#65331;&#65325;&#26908;&#35342;\&#26041;&#37341;&#31649;&#29702;&#65328;&#65316;&#65315;&#65313;\&#36074;&#23455;&#32318;03&#20234;&#21218;&#2140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&#31649;&#29702;&#35506;\YUKAKO\&#32207;&#25324;&#34920;\96&#24180;&#24230;\&#32013;&#20837;\&#32013;&#20837;X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1KA\&#28288;&#20024;\&#26085;&#36554;&#28248;&#21335;\&#21697;&#36074;&#21521;&#19978;&#27963;&#21205;\03&#24180;&#24230;\1KA\&#20843;&#26408;\&#32013;&#20837;&#19981;&#33391;\&#20302;&#28187;&#27963;&#21205;\&#20840;DATA&#38598;&#3533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12467;&#12500;&#12540;%20&#65374;%20&#35373;&#35336;&#26989;&#21209;&#27083;&#25104;&#20307;&#31995;&#3492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5373;&#35336;&#12539;&#29983;&#28310;%20&#35299;&#26512;&amp;&#20107;&#20363;&#30331;&#37682;&#26360;&#25913;&#35330;&#65308;&#21407;&#32025;&#6531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Q&#65331;-9000\TS16949&#23637;&#38283;\&#26412;&#23529;&#26619;&#12475;&#12459;&#12531;&#12489;&#12473;&#12486;&#12540;&#12472;&#23529;&#26619;\&#25913;&#21892;&#25351;&#25688;&#22238;&#31572;&#26696;\&#65327;&#65320;\Book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s1\share\&#38598;&#35336;%20&#24037;&#22580;&#12487;&#12540;&#12479;\&#24037;&#22580;&#12487;&#12540;&#12479;&#20966;&#2970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5042\&#30740;&#31350;&#38283;&#30330;&#20849;&#26377;\ikeike\DATA\&#36009;&#22770;&#35336;&#30011;\2002&#24180;&#24230;\1&#26376;&#29256;\toast%20data\2&#22238;&#30446;\2002&#24180;1&#26376;&#29256;&#36009;&#22770;&#35336;&#30011;TOAST&#12487;&#12540;&#1247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Book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&#65411;&#65438;&#65405;&#65400;&#65412;&#65391;&#65420;&#65439;\1KA\&#20843;&#26408;\&#32013;&#20837;&#19981;&#33391;\&#26085;&#36554;&#65305;&#6530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35373;&#35336;&#12539;&#29983;&#28310;&#12398;&#35299;&#26512;&amp;&#20107;&#20363;&#30331;&#37682;&#26360;_&#25913;_0301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計画提出依頼A"/>
      <sheetName val="01目標値"/>
      <sheetName val="01重点管理ｴﾘｱ"/>
      <sheetName val="計画書ﾌｫｰﾑ"/>
      <sheetName val="表紙"/>
      <sheetName val="全社計画書"/>
      <sheetName val="00年度総括"/>
      <sheetName val="伊勢原製造所"/>
      <sheetName val="大泉製造所"/>
      <sheetName val="藤岡製造所"/>
      <sheetName val="ミラー製造所"/>
      <sheetName val="データー"/>
      <sheetName val="Sheet1"/>
      <sheetName val="Sheet2"/>
      <sheetName val="Sheet3"/>
      <sheetName val="Sheet4"/>
      <sheetName val="MOTO"/>
      <sheetName val="品名"/>
      <sheetName val="種別"/>
      <sheetName val="01年度販社クレーム削減計画"/>
      <sheetName val="Data"/>
      <sheetName val="一・二課"/>
      <sheetName val="date"/>
      <sheetName val="Europe PU-1"/>
      <sheetName val="対象部番一覧"/>
      <sheetName val="ﾄﾞﾛｯﾌﾟﾀﾞｳﾝLIST"/>
      <sheetName val="ﾊﾟｲﾌﾟ"/>
      <sheetName val="他材料費"/>
      <sheetName val="冷延鋼板"/>
      <sheetName val="熱延鋼板"/>
      <sheetName val="Input"/>
      <sheetName val="DB"/>
      <sheetName val="参照"/>
      <sheetName val="Datas"/>
      <sheetName val="1-A､B"/>
      <sheetName val="５・本（鍛造）"/>
      <sheetName val="Europe_PU-1"/>
      <sheetName val="ห้ามลบ"/>
      <sheetName val="Resin cost data base"/>
      <sheetName val="list"/>
      <sheetName val="List_data"/>
      <sheetName val="product"/>
      <sheetName val="Europe_PU-11"/>
      <sheetName val="Resin_cost_data_base"/>
      <sheetName val="21色度变化 (時間入れ替え調整)"/>
      <sheetName val="リスト"/>
      <sheetName val="capacity"/>
      <sheetName val="Man power"/>
      <sheetName val="EXTERNAL KPIs"/>
      <sheetName val="シート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事務所引越見積書"/>
      <sheetName val="VT集計"/>
      <sheetName val="Option集計"/>
      <sheetName val="AX0集計"/>
      <sheetName val="A3A集計"/>
      <sheetName val="OtherSW_下田"/>
      <sheetName val="部別集計"/>
      <sheetName val="Sheet2"/>
      <sheetName val="ﾊﾟｲﾌﾟ"/>
      <sheetName val="他材料費"/>
      <sheetName val="冷延鋼板"/>
      <sheetName val="熱延鋼板"/>
      <sheetName val="①評価項目_メーカー"/>
      <sheetName val="#REF"/>
      <sheetName val="MOTO"/>
      <sheetName val="カチオン・コストテーブル"/>
      <sheetName val="EUR"/>
      <sheetName val="BOM系"/>
      <sheetName val="車体構成"/>
      <sheetName val="波状路測定結果まとめ（LPF500Hｚ）"/>
      <sheetName val="LESCI J77"/>
      <sheetName val="SCH"/>
      <sheetName val="094_APP別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変更部品TF08MY1-5"/>
      <sheetName val="JINKYU"/>
      <sheetName val="ｼｰﾄ"/>
      <sheetName val="ｵｰﾌﾟﾝ"/>
      <sheetName val="MPL 技連"/>
      <sheetName val="342E BLOCK"/>
      <sheetName val="342A Block"/>
      <sheetName val="拝送原紙"/>
      <sheetName val="Croisements (Ai - Ej - Mk) X85"/>
      <sheetName val="Capex data"/>
      <sheetName val="P2.Attached paper"/>
      <sheetName val="square1"/>
      <sheetName val="Prod DNote"/>
      <sheetName val="設計通知"/>
      <sheetName val="Parts list (Vehicle)"/>
      <sheetName val="総合B"/>
      <sheetName val="電気接点定義Contact name"/>
      <sheetName val="シートC(電気接点定義Contact name)SheetC"/>
      <sheetName val="集計ﾘｽﾄ"/>
      <sheetName val="MessageList"/>
      <sheetName val="KD前提工順"/>
      <sheetName val="名古屋支店業務用帳票最新版"/>
      <sheetName val="板金定義"/>
      <sheetName val="M1master"/>
      <sheetName val="条件表"/>
      <sheetName val="Europe PU-1"/>
      <sheetName val="FNFR Code"/>
      <sheetName val="L02B Design reply"/>
      <sheetName val="LIST"/>
      <sheetName val="Sheet 0"/>
      <sheetName val="受入台帳"/>
      <sheetName val="勤務ｼﾌﾄﾍﾞｰｽ表 下期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Sheet1"/>
      <sheetName val="CONT_x0005_NTS"/>
      <sheetName val="Global"/>
      <sheetName val="ATTACHMENT._1_"/>
      <sheetName val="ATTACHMENT._2_-1"/>
      <sheetName val="ATTACHMENT._2_-2"/>
      <sheetName val="ATTACHMENT._2_-3"/>
      <sheetName val="PART COMPONENT_3_-1"/>
      <sheetName val="ATTACHMENT._3_-2"/>
      <sheetName val="ATTACHMENT._3_-3"/>
      <sheetName val="ATTACHMENT._3_-4"/>
      <sheetName val="ATTACHMENT._3_-5"/>
      <sheetName val="ATTACHMENT._4_-1"/>
      <sheetName val="ATTACHMENT._4_-2"/>
      <sheetName val="ATTACHMENT._4_-3"/>
      <sheetName val="ATTACHMENT._4_-4"/>
      <sheetName val="ATTACHMENT._4_-5"/>
      <sheetName val="ATTACHMENT._4_-6"/>
      <sheetName val="ATTACHMENT._4_-7"/>
      <sheetName val="ATTACHMENT._4_-8"/>
      <sheetName val="ATTACHMENT._4_-9"/>
      <sheetName val="ATTACHMENT._5_-1"/>
      <sheetName val="ATTACHMENT._5_-2"/>
      <sheetName val="ATTACHMENT._5_-3"/>
      <sheetName val="ATTACHMENT._5_-4"/>
      <sheetName val="ATTACHMENT._5_-5"/>
      <sheetName val="ATTACHMENT._5_-6"/>
      <sheetName val="ATTACHMENT._5_-7"/>
      <sheetName val="ATTACHMENT._5_-8"/>
      <sheetName val="ATTACHMENT._5_-9"/>
      <sheetName val="ATTACHMENT._5_-10"/>
      <sheetName val="Design  VSR Changes"/>
      <sheetName val="Option Weights"/>
      <sheetName val="STAB CONN ROD ワイブルn=6"/>
      <sheetName val="T30ﾗｼﾞｸﾞﾘ"/>
      <sheetName val="車種別登録速報"/>
      <sheetName val="0409"/>
      <sheetName val="Check_Mark"/>
      <sheetName val="ｸﾛｽ"/>
      <sheetName val="INFO"/>
      <sheetName val="Plan Sheet"/>
      <sheetName val="P1；依頼書"/>
      <sheetName val="BL7812改修内容"/>
      <sheetName val="sheet17"/>
      <sheetName val="グラフ計算用(編集不要)"/>
      <sheetName val="8-2.KOR'07MY変動質量表"/>
      <sheetName val="完了"/>
      <sheetName val="Template DCS SKETCH Pg2"/>
      <sheetName val="MexiqueVentes97"/>
      <sheetName val="N値"/>
      <sheetName val="Press"/>
      <sheetName val="Material"/>
      <sheetName val="管理"/>
      <sheetName val="Condition"/>
      <sheetName val="Table2"/>
      <sheetName val="CAN送信(TRQ関係)"/>
      <sheetName val="LESCI_J77"/>
      <sheetName val="MPL_技連"/>
      <sheetName val="342E_BLOCK"/>
      <sheetName val="342A_Block"/>
      <sheetName val="P2_Attached_paper"/>
      <sheetName val="Parts_list_(Vehicle)"/>
      <sheetName val="Croisements_(Ai_-_Ej_-_Mk)_X85"/>
      <sheetName val="Capex_data"/>
      <sheetName val="Prod_DNote"/>
      <sheetName val="電気接点定義Contact_name"/>
      <sheetName val="シートC(電気接点定義Contact_name)SheetC"/>
      <sheetName val="Europe_PU-1"/>
      <sheetName val="FNFR_Code"/>
      <sheetName val="勤務ｼﾌﾄﾍﾞｰｽ表_下期"/>
      <sheetName val="L02B_Design_reply"/>
      <sheetName val="Sheet_0"/>
      <sheetName val="ATTACHMENT_[1]"/>
      <sheetName val="ATTACHMENT_[2]-1"/>
      <sheetName val="ATTACHMENT_[2]-2"/>
      <sheetName val="ATTACHMENT_[2]-3"/>
      <sheetName val="PART_COMPONENT[3]-1"/>
      <sheetName val="ATTACHMENT_[3]-2"/>
      <sheetName val="ATTACHMENT_[3]-3"/>
      <sheetName val="ATTACHMENT_[3]-4"/>
      <sheetName val="ATTACHMENT_[3]-5"/>
      <sheetName val="(GEO_TABLE)"/>
      <sheetName val="ATTACHMENT_[4]-1"/>
      <sheetName val="ATTACHMENT_[4]-2"/>
      <sheetName val="(BRKT_DIMENSION)"/>
      <sheetName val="ATTACHMENT_[4]-3"/>
      <sheetName val="ATTACHMENT_[4]-4"/>
      <sheetName val="ATTACHMENT_[4]-5"/>
      <sheetName val="ATTACHMENT_[4]-6"/>
      <sheetName val="ATTACHMENT_[4]-7"/>
      <sheetName val="ATTACHMENT_[4]-8"/>
      <sheetName val="ATTACHMENT_[4]-9"/>
      <sheetName val="ATTACHMENT_[5]-1"/>
      <sheetName val="ATTACHMENT_[5]-2"/>
      <sheetName val="ATTACHMENT_[5]-3"/>
      <sheetName val="ATTACHMENT_[5]-4"/>
      <sheetName val="ATTACHMENT_[5]-5"/>
      <sheetName val="ATTACHMENT_[5]-6"/>
      <sheetName val="ATTACHMENT_[5]-7"/>
      <sheetName val="ATTACHMENT_[5]-8"/>
      <sheetName val="ATTACHMENT_[5]-9"/>
      <sheetName val="ATTACHMENT_[5]-10"/>
      <sheetName val="CONTNTS"/>
      <sheetName val="ATTACHMENT__1_"/>
      <sheetName val="ATTACHMENT__2_-1"/>
      <sheetName val="ATTACHMENT__2_-2"/>
      <sheetName val="ATTACHMENT__2_-3"/>
      <sheetName val="PART_COMPONENT_3_-1"/>
      <sheetName val="ATTACHMENT__3_-2"/>
      <sheetName val="ATTACHMENT__3_-3"/>
      <sheetName val="ATTACHMENT__3_-4"/>
      <sheetName val="ATTACHMENT__3_-5"/>
      <sheetName val="ATTACHMENT__4_-1"/>
      <sheetName val="ATTACHMENT__4_-2"/>
      <sheetName val="ATTACHMENT__4_-3"/>
      <sheetName val="ATTACHMENT__4_-4"/>
      <sheetName val="ATTACHMENT__4_-5"/>
      <sheetName val="ATTACHMENT__4_-6"/>
      <sheetName val="ATTACHMENT__4_-7"/>
      <sheetName val="ATTACHMENT__4_-8"/>
      <sheetName val="ATTACHMENT__4_-9"/>
      <sheetName val="ATTACHMENT__5_-1"/>
      <sheetName val="ATTACHMENT__5_-2"/>
      <sheetName val="ATTACHMENT__5_-3"/>
      <sheetName val="ATTACHMENT__5_-4"/>
      <sheetName val="ATTACHMENT__5_-5"/>
      <sheetName val="ATTACHMENT__5_-6"/>
      <sheetName val="ATTACHMENT__5_-7"/>
      <sheetName val="ATTACHMENT__5_-8"/>
      <sheetName val="ATTACHMENT__5_-9"/>
      <sheetName val="ATTACHMENT__5_-10"/>
      <sheetName val="Design__VSR_Changes"/>
      <sheetName val="Option_Weights"/>
      <sheetName val="STAB_CONN_ROD_ワイブルn=6"/>
      <sheetName val="8-2_KOR'07MY変動質量表"/>
      <sheetName val="Plan_Sheet"/>
      <sheetName val="行业类别及工艺大小类"/>
      <sheetName val="プルダウン設定"/>
      <sheetName val="リスト"/>
      <sheetName val="検討依頼チェックシート"/>
      <sheetName val="Tool Type"/>
      <sheetName val="do not delete"/>
      <sheetName val="Sheet3"/>
      <sheetName val="09.11.11VA設変塗装追加"/>
      <sheetName val="APC Material &amp; Equipment"/>
      <sheetName val="Content Codes_Content changes "/>
      <sheetName val="車会集約"/>
      <sheetName val="TAMS"/>
      <sheetName val="P1_Title"/>
      <sheetName val="P4_Unit application"/>
      <sheetName val="PROFILE"/>
      <sheetName val="aux 2004"/>
      <sheetName val="KAIGAI"/>
      <sheetName val="減衰力算出"/>
      <sheetName val="1) DF Data"/>
      <sheetName val="Tiempos"/>
      <sheetName val="現行部品一覧（小計順）"/>
      <sheetName val="正転トルク"/>
      <sheetName val="選択シート"/>
      <sheetName val="SIMK"/>
      <sheetName val="Cond"/>
      <sheetName val="Car Flow"/>
      <sheetName val="３発デ－タ"/>
      <sheetName val="TF仕様比較"/>
      <sheetName val=""/>
      <sheetName val="-1"/>
      <sheetName val="-2"/>
      <sheetName val="-3"/>
      <sheetName val="-4"/>
      <sheetName val="-5"/>
      <sheetName val="-6"/>
      <sheetName val="-7"/>
      <sheetName val="-8"/>
      <sheetName val="-9"/>
      <sheetName val="-10"/>
      <sheetName val="ﾕｰｻﾞｰ設定"/>
      <sheetName val="ENG消費まとめ"/>
      <sheetName val="L42L+3まとめ"/>
      <sheetName val="P5 ﾒﾀﾙ加工費(ﾚｰｻﾞｰ)"/>
      <sheetName val="集合"/>
      <sheetName val="Sup Matrix"/>
      <sheetName val="01重点管理ｴﾘｱ"/>
      <sheetName val="Titel"/>
      <sheetName val="Hyp"/>
      <sheetName val="DF  - Attachment"/>
      <sheetName val="PARAMETRES"/>
      <sheetName val="積載配分表"/>
      <sheetName val="型上げ"/>
      <sheetName val="実績見込99"/>
      <sheetName val="報告書表紙"/>
      <sheetName val="2WD SPORTS"/>
      <sheetName val="4WD BASE"/>
      <sheetName val="Graphe Assemblage"/>
      <sheetName val="Graph data"/>
      <sheetName val="block"/>
      <sheetName val="FR管理工程図"/>
      <sheetName val="DETAILS "/>
      <sheetName val="CONT_x005f_x0005_NTS"/>
      <sheetName val="側突担当名簿リスト"/>
      <sheetName val="Customer input"/>
      <sheetName val="CCM&amp;Target"/>
      <sheetName val="After Sales Supplier #'s"/>
      <sheetName val="GRAFICO"/>
      <sheetName val="ZFE5"/>
      <sheetName val="Sub3 Car"/>
      <sheetName val="M5A0_01-01-22"/>
      <sheetName val="13_0039"/>
      <sheetName val="P3"/>
      <sheetName val="CC detail"/>
      <sheetName val="8.4.1.ﾎﾞﾘｭｰﾑ調整"/>
      <sheetName val="8.4.2.ﾊﾞﾗﾝｽ調整"/>
      <sheetName val="8.4.3.ﾌｪﾀﾞｰ調整"/>
      <sheetName val="8.4.4.ﾐｭｰﾄ機能"/>
      <sheetName val="8.4.5.ｽﾋﾟｰｶｰ設定"/>
      <sheetName val="8.4.5.1.ｽﾋﾟｰｶｰ接続有無の設定"/>
      <sheetName val="8.4.5.2.ﾀﾞｳﾝﾐｯｸｽ機能"/>
      <sheetName val="8.4.5.3.SUB FADER機能"/>
      <sheetName val="8.4.5.4.低域出力先選択"/>
      <sheetName val="8.ﾏﾙﾁﾁｬﾝﾈﾙｵｰﾃﾞｨｵ"/>
      <sheetName val="8.4.5.5.ｽﾋﾟｰｶｰのﾌｨﾙﾀｰ周波数選択"/>
      <sheetName val="8.4.6.ﾀﾞｲﾅﾐｯｸﾚﾝｼﾞON_OFF切替"/>
      <sheetName val="8.4.7.ﾄﾞﾙﾋﾞｰﾌﾟﾛﾛｼﾞｯｸⅡ"/>
      <sheetName val="8.4.7.1.ﾄﾞﾙﾋﾞｰPLⅡ ON_OFF切替"/>
      <sheetName val="8.4.8.ｶﾗｵｹﾃﾞｨｽｸへの対応"/>
      <sheetName val="8.4.9.ﾎﾟｼﾞｼｮﾝ機能"/>
      <sheetName val="8.4.9.1.ﾎﾟｼﾞｼｮﾝON_OFF切替"/>
      <sheetName val="8.4.9.2.ﾎﾟｼﾞｼｮﾝ選択"/>
      <sheetName val="8.4.9.3.ｽﾋﾟｰｶｰの出力ﾚﾍﾞﾙ調整"/>
      <sheetName val="8.4.9.4.ﾀｲﾑｱﾗｲﾒﾝﾄ調整"/>
      <sheetName val="8.4.9.5.ﾎﾟｼﾞｼｮﾝﾕｰｻﾞｰﾒﾓﾘｰ"/>
      <sheetName val="8.4.10.ﾊﾟﾗﾒﾄﾘｯｸｲｺﾗｲｻﾞｰ"/>
      <sheetName val="8.4.10.1.P_EQ ON_OFF切替"/>
      <sheetName val="8.4.10.2.P_EQﾓｰﾄﾞ切替"/>
      <sheetName val="8.4.10.3.SIGNAL選択"/>
      <sheetName val="8.4.10.4.ﾊﾞﾝﾄﾞ選択"/>
      <sheetName val="8.4.10.5.周波数選択"/>
      <sheetName val="8.4.10.6.ｹﾞｲﾝ調整"/>
      <sheetName val="8.4.10.7.Qの選択"/>
      <sheetName val="8.4.10.8.P_EQﾕｰｻﾞｰﾒﾓﾘｰ"/>
      <sheetName val="8.4.12.高域補正機能"/>
      <sheetName val="8.5.NAVI音声割り込み機能"/>
      <sheetName val="8.7.走行判定"/>
      <sheetName val="8.8.ｺｰｼｮﾝ一覧"/>
      <sheetName val="8.9.割込時の動作"/>
      <sheetName val="8.1.機能一覧"/>
      <sheetName val="8.3.ｼｽﾃﾑ概要"/>
      <sheetName val="8.4.ｵｰﾃﾞｨｵ設定"/>
      <sheetName val="统计"/>
      <sheetName val="PDR用T470積上"/>
      <sheetName val="業務ユニットDB"/>
      <sheetName val="LESCI_J771"/>
      <sheetName val="MPL_技連1"/>
      <sheetName val="342E_BLOCK1"/>
      <sheetName val="342A_Block1"/>
      <sheetName val="Croisements_(Ai_-_Ej_-_Mk)_X851"/>
      <sheetName val="P2_Attached_paper1"/>
      <sheetName val="Parts_list_(Vehicle)1"/>
      <sheetName val="Capex_data1"/>
      <sheetName val="Prod_DNote1"/>
      <sheetName val="電気接点定義Contact_name1"/>
      <sheetName val="シートC(電気接点定義Contact_name)SheetC1"/>
      <sheetName val="Europe_PU-11"/>
      <sheetName val="FNFR_Code1"/>
      <sheetName val="勤務ｼﾌﾄﾍﾞｰｽ表_下期1"/>
      <sheetName val="L02B_Design_reply1"/>
      <sheetName val="ATTACHMENT_[1]1"/>
      <sheetName val="ATTACHMENT_[2]-11"/>
      <sheetName val="ATTACHMENT_[2]-21"/>
      <sheetName val="ATTACHMENT_[2]-31"/>
      <sheetName val="PART_COMPONENT[3]-11"/>
      <sheetName val="ATTACHMENT_[3]-21"/>
      <sheetName val="ATTACHMENT_[3]-31"/>
      <sheetName val="ATTACHMENT_[3]-41"/>
      <sheetName val="ATTACHMENT_[3]-51"/>
      <sheetName val="(GEO_TABLE)1"/>
      <sheetName val="ATTACHMENT_[4]-11"/>
      <sheetName val="ATTACHMENT_[4]-21"/>
      <sheetName val="(BRKT_DIMENSION)1"/>
      <sheetName val="ATTACHMENT_[4]-31"/>
      <sheetName val="ATTACHMENT_[4]-41"/>
      <sheetName val="ATTACHMENT_[4]-51"/>
      <sheetName val="ATTACHMENT_[4]-61"/>
      <sheetName val="ATTACHMENT_[4]-71"/>
      <sheetName val="ATTACHMENT_[4]-81"/>
      <sheetName val="ATTACHMENT_[4]-91"/>
      <sheetName val="ATTACHMENT_[5]-11"/>
      <sheetName val="ATTACHMENT_[5]-21"/>
      <sheetName val="ATTACHMENT_[5]-31"/>
      <sheetName val="ATTACHMENT_[5]-41"/>
      <sheetName val="ATTACHMENT_[5]-51"/>
      <sheetName val="ATTACHMENT_[5]-61"/>
      <sheetName val="ATTACHMENT_[5]-71"/>
      <sheetName val="ATTACHMENT_[5]-81"/>
      <sheetName val="ATTACHMENT_[5]-91"/>
      <sheetName val="ATTACHMENT_[5]-101"/>
      <sheetName val="ATTACHMENT__1_1"/>
      <sheetName val="ATTACHMENT__2_-11"/>
      <sheetName val="ATTACHMENT__2_-21"/>
      <sheetName val="ATTACHMENT__2_-31"/>
      <sheetName val="PART_COMPONENT_3_-11"/>
      <sheetName val="ATTACHMENT__3_-21"/>
      <sheetName val="ATTACHMENT__3_-31"/>
      <sheetName val="ATTACHMENT__3_-41"/>
      <sheetName val="ATTACHMENT__3_-51"/>
      <sheetName val="ATTACHMENT__4_-11"/>
      <sheetName val="ATTACHMENT__4_-21"/>
      <sheetName val="ATTACHMENT__4_-31"/>
      <sheetName val="ATTACHMENT__4_-41"/>
      <sheetName val="ATTACHMENT__4_-51"/>
      <sheetName val="ATTACHMENT__4_-61"/>
      <sheetName val="ATTACHMENT__4_-71"/>
      <sheetName val="ATTACHMENT__4_-81"/>
      <sheetName val="ATTACHMENT__4_-91"/>
      <sheetName val="ATTACHMENT__5_-11"/>
      <sheetName val="ATTACHMENT__5_-21"/>
      <sheetName val="ATTACHMENT__5_-31"/>
      <sheetName val="ATTACHMENT__5_-41"/>
      <sheetName val="ATTACHMENT__5_-51"/>
      <sheetName val="ATTACHMENT__5_-61"/>
      <sheetName val="ATTACHMENT__5_-71"/>
      <sheetName val="ATTACHMENT__5_-81"/>
      <sheetName val="ATTACHMENT__5_-91"/>
      <sheetName val="ATTACHMENT__5_-101"/>
      <sheetName val="Design__VSR_Changes1"/>
      <sheetName val="Option_Weights1"/>
      <sheetName val="STAB_CONN_ROD_ワイブルn=61"/>
      <sheetName val="Sheet_01"/>
      <sheetName val="Plan_Sheet1"/>
      <sheetName val="8-2_KOR'07MY変動質量表1"/>
      <sheetName val="Template_DCS_SKETCH_Pg2"/>
      <sheetName val="Tool_Type"/>
      <sheetName val="do_not_delete"/>
      <sheetName val="APC_Material_&amp;_Equipment"/>
      <sheetName val="P4_Unit_application"/>
      <sheetName val="aux_2004"/>
      <sheetName val="1)_DF_Data"/>
      <sheetName val="09_11_11VA設変塗装追加"/>
      <sheetName val="Car_Flow"/>
      <sheetName val="Content_Codes_Content_changes_"/>
      <sheetName val="P5_ﾒﾀﾙ加工費(ﾚｰｻﾞｰ)"/>
      <sheetName val="Sup_Matrix"/>
      <sheetName val="DF__-_Attachment"/>
      <sheetName val="2WD_SPORTS"/>
      <sheetName val="4WD_BASE"/>
      <sheetName val="Graphe_Assemblage"/>
      <sheetName val="Graph_data"/>
      <sheetName val="DETAILS_"/>
      <sheetName val="Customer_input"/>
      <sheetName val="After_Sales_Supplier_#'s"/>
      <sheetName val="Sub3_Car"/>
      <sheetName val="CC_detail"/>
      <sheetName val="8_4_1_ﾎﾞﾘｭｰﾑ調整"/>
      <sheetName val="8_4_2_ﾊﾞﾗﾝｽ調整"/>
      <sheetName val="8_4_3_ﾌｪﾀﾞｰ調整"/>
      <sheetName val="8_4_4_ﾐｭｰﾄ機能"/>
      <sheetName val="8_4_5_ｽﾋﾟｰｶｰ設定"/>
      <sheetName val="8_4_5_1_ｽﾋﾟｰｶｰ接続有無の設定"/>
      <sheetName val="8_4_5_2_ﾀﾞｳﾝﾐｯｸｽ機能"/>
      <sheetName val="8_4_5_3_SUB_FADER機能"/>
      <sheetName val="8_4_5_4_低域出力先選択"/>
      <sheetName val="8_ﾏﾙﾁﾁｬﾝﾈﾙｵｰﾃﾞｨｵ"/>
      <sheetName val="8_4_5_5_ｽﾋﾟｰｶｰのﾌｨﾙﾀｰ周波数選択"/>
      <sheetName val="8_4_6_ﾀﾞｲﾅﾐｯｸﾚﾝｼﾞON_OFF切替"/>
      <sheetName val="8_4_7_ﾄﾞﾙﾋﾞｰﾌﾟﾛﾛｼﾞｯｸⅡ"/>
      <sheetName val="8_4_7_1_ﾄﾞﾙﾋﾞｰPLⅡ_ON_OFF切替"/>
      <sheetName val="8_4_8_ｶﾗｵｹﾃﾞｨｽｸへの対応"/>
      <sheetName val="8_4_9_ﾎﾟｼﾞｼｮﾝ機能"/>
      <sheetName val="8_4_9_1_ﾎﾟｼﾞｼｮﾝON_OFF切替"/>
      <sheetName val="8_4_9_2_ﾎﾟｼﾞｼｮﾝ選択"/>
      <sheetName val="8_4_9_3_ｽﾋﾟｰｶｰの出力ﾚﾍﾞﾙ調整"/>
      <sheetName val="8_4_9_4_ﾀｲﾑｱﾗｲﾒﾝﾄ調整"/>
      <sheetName val="8_4_9_5_ﾎﾟｼﾞｼｮﾝﾕｰｻﾞｰﾒﾓﾘｰ"/>
      <sheetName val="8_4_10_ﾊﾟﾗﾒﾄﾘｯｸｲｺﾗｲｻﾞｰ"/>
      <sheetName val="8_4_10_1_P_EQ_ON_OFF切替"/>
      <sheetName val="8_4_10_2_P_EQﾓｰﾄﾞ切替"/>
      <sheetName val="8_4_10_3_SIGNAL選択"/>
      <sheetName val="8_4_10_4_ﾊﾞﾝﾄﾞ選択"/>
      <sheetName val="8_4_10_5_周波数選択"/>
      <sheetName val="8_4_10_6_ｹﾞｲﾝ調整"/>
      <sheetName val="8_4_10_7_Qの選択"/>
      <sheetName val="8_4_10_8_P_EQﾕｰｻﾞｰﾒﾓﾘｰ"/>
      <sheetName val="8_4_12_高域補正機能"/>
      <sheetName val="8_5_NAVI音声割り込み機能"/>
      <sheetName val="8_7_走行判定"/>
      <sheetName val="8_8_ｺｰｼｮﾝ一覧"/>
      <sheetName val="8_9_割込時の動作"/>
      <sheetName val="8_1_機能一覧"/>
      <sheetName val="8_3_ｼｽﾃﾑ概要"/>
      <sheetName val="8_4_ｵｰﾃﾞｨｵ設定"/>
      <sheetName val="成果表"/>
      <sheetName val="日産"/>
      <sheetName val="Spec Tender Form"/>
      <sheetName val="表紙 OP"/>
      <sheetName val="Request Detail"/>
      <sheetName val="0310ET部品リスト比較用"/>
      <sheetName val="SSOW Form"/>
      <sheetName val="SSOW_Form1"/>
      <sheetName val="SSOW_Form"/>
      <sheetName val="LIST_EDM"/>
      <sheetName val="Constants"/>
      <sheetName val="発注書"/>
      <sheetName val="遅延車ﾘｽﾄ "/>
      <sheetName val="Plan5"/>
      <sheetName val="Plan2"/>
      <sheetName val="Simbología"/>
      <sheetName val="Menu"/>
      <sheetName val="X61B ZH2E L1 #1"/>
      <sheetName val="Pull Down"/>
      <sheetName val="各値計算表(Lo)"/>
      <sheetName val="ｼｽﾃﾑ変更点一覧(ALL)"/>
      <sheetName val="ｶｯﾄ角調査"/>
      <sheetName val="Datas for Format"/>
      <sheetName val="N719(NC)"/>
      <sheetName val="実績"/>
      <sheetName val="組別年休取得状況"/>
      <sheetName val="職制・野球部"/>
      <sheetName val="Master"/>
      <sheetName val="Referrence"/>
      <sheetName val="CAMERA"/>
      <sheetName val="参考】変動理由"/>
      <sheetName val="PO @1st Jan10"/>
      <sheetName val="Investment_4x4economy"/>
      <sheetName val="125  Kalkulaton Produktion"/>
      <sheetName val="100_00"/>
      <sheetName val="Sheet4"/>
      <sheetName val="①GSE生技Aｺｽﾄ削減"/>
      <sheetName val="②設備計画"/>
      <sheetName val="③新車投資"/>
      <sheetName val="④日産車拡販活動(H部門)"/>
      <sheetName val="⑥ﾌﾟﾚｽ管理ｸﾞﾗﾌ"/>
      <sheetName val="⑦ﾒﾀﾙ管理ｸﾞﾗﾌ"/>
      <sheetName val="⑧塗装管理ｸﾞﾗﾌ"/>
      <sheetName val="⑩組立管理ｸﾞﾗﾌ "/>
      <sheetName val="《月次報告の添付別紙》工機負荷表(合体ｸﾞﾗﾌ)"/>
      <sheetName val="H310型製作部門(元ｸﾞﾗﾌ)"/>
      <sheetName val="H320設備製作(元ｸﾞﾗﾌ)"/>
      <sheetName val="H210試作0602（元ｸﾞﾗﾌ）"/>
      <sheetName val="④ﾘｿｰｽ管理(生技Ａ)"/>
      <sheetName val="调试线故障表"/>
      <sheetName val="流资汇总"/>
      <sheetName val="UNIDADESHS02MY"/>
      <sheetName val="N17"/>
      <sheetName val="ﾍﾞﾀﾘｽﾄ"/>
      <sheetName val="⑩組立管理ｸﾞﾗﾌ_"/>
      <sheetName val="標時"/>
      <sheetName val="数据源"/>
      <sheetName val="Pln Pdt"/>
      <sheetName val="修订进度推移"/>
      <sheetName val="391.各"/>
      <sheetName val="P6管工图"/>
      <sheetName val="主线故障表"/>
      <sheetName val="HT-3011"/>
      <sheetName val="真圆度 (假缸盖)"/>
      <sheetName val="⑩組立管理ｸﾞﾗﾌ_1"/>
      <sheetName val="After_Sales_Supplier_#'s1"/>
      <sheetName val="Pln_Pdt"/>
      <sheetName val="99年度原単位"/>
      <sheetName val="损益表（按单位)01"/>
      <sheetName val="391_各"/>
      <sheetName val="⑩組立管理ｸﾞﾗﾌ_2"/>
      <sheetName val="After_Sales_Supplier_#'s2"/>
      <sheetName val="Pln_Pdt1"/>
      <sheetName val="391_各1"/>
      <sheetName val="20600工程A表"/>
      <sheetName val="分项统计"/>
      <sheetName val="BP0(bz0)見積もり"/>
      <sheetName val="6出国培训(出国出差)"/>
      <sheetName val="报告书 中文"/>
      <sheetName val="一覧表"/>
      <sheetName val="欧州 構想書集約"/>
      <sheetName val="X11C"/>
      <sheetName val="積港比率"/>
      <sheetName val="Raw Data"/>
      <sheetName val="线体&amp;机型对照表"/>
      <sheetName val="一般部品納入異常件数"/>
      <sheetName val="ドロップダウン"/>
      <sheetName val="Summary"/>
      <sheetName val="⑩組立管理ｸﾞﾗﾌ_3"/>
      <sheetName val="After_Sales_Supplier_#'s3"/>
      <sheetName val="勤務ｼﾌﾄﾍﾞｰｽ表_下期2"/>
      <sheetName val="Detail Activity (Price Rev.)"/>
      <sheetName val="HISTORY BLOCK"/>
      <sheetName val="TITLE BLOCK"/>
      <sheetName val="新车+监督者"/>
      <sheetName val="M-1P01上期原単位"/>
      <sheetName val="面積計算"/>
      <sheetName val="S3CHK1"/>
      <sheetName val="NO.1(1107)"/>
      <sheetName val="QCV车评价"/>
      <sheetName val="数据(禁动）"/>
      <sheetName val="装配主线故障表"/>
      <sheetName val="削除厳禁！担当者データ他データ集"/>
      <sheetName val="C16A"/>
      <sheetName val="「1-7」新車基準時間リスト(全件）"/>
      <sheetName val="報告書"/>
      <sheetName val="⑩組立管理ｸﾞﾗﾌ_4"/>
      <sheetName val="After_Sales_Supplier_#'s4"/>
      <sheetName val="Pln_Pdt2"/>
      <sheetName val="391_各2"/>
      <sheetName val="MPL_技連2"/>
      <sheetName val="342E_BLOCK2"/>
      <sheetName val="勤務ｼﾌﾄﾍﾞｰｽ表_下期3"/>
      <sheetName val="真圆度_(假缸盖)"/>
      <sheetName val="报告书_中文"/>
      <sheetName val="欧州_構想書集約"/>
      <sheetName val="Raw_Data"/>
      <sheetName val="Detail_Activity_(Price_Rev_)"/>
      <sheetName val="HISTORY_BLOCK"/>
      <sheetName val="TITLE_BLOCK"/>
      <sheetName val="NO_1(1107)"/>
      <sheetName val="段階リスト"/>
      <sheetName val="会社員リスト"/>
      <sheetName val="U5-1341"/>
      <sheetName val="ﾏｯﾁﾝｸﾞ"/>
      <sheetName val="一覧"/>
      <sheetName val="sheet5"/>
      <sheetName val="8CYL-SIGMA"/>
      <sheetName val="TQT_1"/>
      <sheetName val="達成729"/>
      <sheetName val="Base"/>
      <sheetName val="オイラー角"/>
      <sheetName val="2203#&amp;2204#"/>
      <sheetName val="2205#&amp;2206#"/>
      <sheetName val="2301#&amp;2302#"/>
      <sheetName val="12.Characteristic(load deflec)"/>
      <sheetName val="3"/>
      <sheetName val="TSL検討"/>
      <sheetName val="CI準備費"/>
      <sheetName val="Prm"/>
      <sheetName val="B DATOS"/>
      <sheetName val="RP-REP-GEN 2"/>
      <sheetName val="遅延車ﾘｽﾄ_"/>
      <sheetName val="Datas_for_Format"/>
      <sheetName val="質問項目"/>
      <sheetName val="X_(MR20DD)ENG P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 refreshError="1"/>
      <sheetData sheetId="6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dy"/>
      <sheetName val="L"/>
      <sheetName val="G3"/>
      <sheetName val="G4"/>
      <sheetName val="GS"/>
      <sheetName val="E"/>
      <sheetName val="I"/>
      <sheetName val="S"/>
      <sheetName val="LX"/>
      <sheetName val="R"/>
      <sheetName val="GX"/>
      <sheetName val="t20d"/>
      <sheetName val="NTL_ALL"/>
      <sheetName val="LS4"/>
      <sheetName val="GS3"/>
      <sheetName val="GS4"/>
      <sheetName val="TOTALGS"/>
      <sheetName val="ES3"/>
      <sheetName val="IS"/>
      <sheetName val="SC4"/>
      <sheetName val="TTLCAR"/>
      <sheetName val="LX47"/>
      <sheetName val="RX3 CBU"/>
      <sheetName val="Sheet1"/>
      <sheetName val="RX3 NAP"/>
      <sheetName val="Guide"/>
      <sheetName val="TOTALRX"/>
      <sheetName val="RX3 HYBRID"/>
      <sheetName val="GX4"/>
      <sheetName val="TOTAL"/>
      <sheetName val="TTLSUV"/>
      <sheetName val="PRT MACROS"/>
      <sheetName val="Table1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課題実施計画書"/>
      <sheetName val="A"/>
      <sheetName val="LR・LTｸﾚｰﾑ分析"/>
      <sheetName val="データシート(定地) (2)"/>
      <sheetName val="NK仕様21"/>
      <sheetName val="業務計画"/>
      <sheetName val="量産準備実施依頼書"/>
      <sheetName val="C3_N DC改造投資"/>
      <sheetName val="ＴＦ関連Ｐｒｊ日程表"/>
      <sheetName val=" FE 0919Cal TP3"/>
      <sheetName val="燃費3"/>
      <sheetName val="洩れ"/>
      <sheetName val="1-A､B"/>
      <sheetName val="2-A､B 3-A"/>
      <sheetName val="DOM-競合車SPEC"/>
      <sheetName val="Sheet1"/>
      <sheetName val="Sheet2"/>
      <sheetName val="Sheet3"/>
      <sheetName val="各部寸検結果"/>
      <sheetName val="96期(川崎)"/>
      <sheetName val="BELT検討"/>
      <sheetName val="Unit Price"/>
      <sheetName val="生産台数内訳"/>
      <sheetName val="クライテリア"/>
      <sheetName val="第1期投資実績"/>
      <sheetName val="02MY投資実績"/>
      <sheetName val="150K-1投資"/>
      <sheetName val="150K-2投資"/>
      <sheetName val="ITEM"/>
      <sheetName val="00-1"/>
      <sheetName val="Sheet1 (2)"/>
      <sheetName val="FUKUMI"/>
      <sheetName val="日付"/>
      <sheetName val="(原単位)"/>
      <sheetName val="Defects"/>
      <sheetName val="[LR・LTｸﾚｰﾑ分析.xls塅䕃⹌塅Et1 (2)"/>
      <sheetName val="ﾏｸﾛ説明"/>
      <sheetName val="24204"/>
      <sheetName val="実績推移"/>
      <sheetName val="พงศ์พร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原単位"/>
      <sheetName val="入力シート"/>
      <sheetName val="計算結果"/>
      <sheetName val="機能リスト"/>
      <sheetName val="Wvð"/>
      <sheetName val="NCeA"/>
      <sheetName val="LAY-OUT "/>
      <sheetName val="Table"/>
      <sheetName val="選酋表"/>
      <sheetName val="商品明細(KD)"/>
      <sheetName val="表示"/>
      <sheetName val="結果"/>
      <sheetName val="ocean voyage"/>
      <sheetName val="ｴｱﾃﾞｨｽｸ"/>
      <sheetName val="11.CPU単価"/>
      <sheetName val="08.P772報告書030530"/>
      <sheetName val="HärQ"/>
      <sheetName val="諸元まとめ"/>
      <sheetName val="MOD"/>
      <sheetName val="rate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ワークシート関数の使用例"/>
      <sheetName val="入力表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第1期"/>
      <sheetName val="02MY"/>
      <sheetName val="150K-1"/>
      <sheetName val="150K-2"/>
      <sheetName val="180K投資"/>
      <sheetName val="社内検査データ"/>
      <sheetName val="マスター"/>
      <sheetName val="職種別原価"/>
      <sheetName val="TB3川崎"/>
      <sheetName val="150K_1投資"/>
      <sheetName val="150K_2投資"/>
      <sheetName val="ASM#1-Eff"/>
      <sheetName val="推移用データ"/>
      <sheetName val="一覧と近似式"/>
      <sheetName val="仕上１"/>
      <sheetName val="〈参考〉_P.7_シフトINディテント力"/>
      <sheetName val="TM"/>
      <sheetName val="1-E"/>
      <sheetName val="材質検査（N増し書換済）"/>
      <sheetName val="ﾌﾟﾙﾀﾞｳﾝﾒﾆｭｰ用ｺｰﾄﾞ表"/>
      <sheetName val="進捗確認"/>
      <sheetName val="ﾟ発表No 1"/>
      <sheetName val="96_97研究費_全体"/>
      <sheetName val="名簿データ"/>
      <sheetName val="市場品質状況レポート"/>
      <sheetName val="駆動力（入力シート）"/>
      <sheetName val="HX121-T"/>
      <sheetName val="工数比較２"/>
      <sheetName val="新コード"/>
      <sheetName val="A2 990"/>
      <sheetName val="TIRE読み替え表"/>
      <sheetName val="99"/>
      <sheetName val="集計用"/>
      <sheetName val="10"/>
      <sheetName val="90_2"/>
      <sheetName val="101"/>
      <sheetName val="19"/>
      <sheetName val="57F"/>
      <sheetName val="TRY進捗"/>
      <sheetName val=" CV ALL"/>
      <sheetName val="【資料】730改造投資"/>
      <sheetName val="総合B"/>
      <sheetName val="MOTO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ISO_250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NEW003"/>
      <sheetName val="Car Input"/>
      <sheetName val="Summary"/>
      <sheetName val="駆動系1"/>
      <sheetName val="part list ext crew"/>
      <sheetName val="Years_Input"/>
      <sheetName val="_B007"/>
      <sheetName val="制動力線計算入力"/>
      <sheetName val="346Proj日程991124"/>
      <sheetName val="A-K研車型"/>
      <sheetName val="ﾏﾙC改造投資詳細"/>
      <sheetName val="金額"/>
      <sheetName val="DB"/>
      <sheetName val="SMALL"/>
      <sheetName val="A010"/>
      <sheetName val="_CONFIG-2"/>
      <sheetName val="TF ; C-19"/>
      <sheetName val="Time study"/>
      <sheetName val="calculate"/>
      <sheetName val="日程表 3X"/>
      <sheetName val="複合-日計算"/>
      <sheetName val="96期_川崎_"/>
      <sheetName val="R&amp;D"/>
      <sheetName val="DIEZEL動弁相場"/>
      <sheetName val="Schedule(detail)"/>
      <sheetName val="ｺｰﾄﾞ表"/>
      <sheetName val="R GRILLE"/>
      <sheetName val="耐久進捗data"/>
      <sheetName val="ラミナー計算"/>
      <sheetName val="6W"/>
      <sheetName val="ap 17"/>
      <sheetName val="Data-Qｽｲｰﾌﾟ"/>
      <sheetName val="Data-NEｽｲｰﾌﾟ"/>
      <sheetName val="Data-ΔQ"/>
      <sheetName val="Data-ΔNE(50)"/>
      <sheetName val="プロジェクトステータス　4J(ELF)"/>
      <sheetName val="品質保証責任者届"/>
      <sheetName val="計画"/>
      <sheetName val="SW評価項目"/>
      <sheetName val="133NPR55 69 EC"/>
      <sheetName val="#ofclose"/>
      <sheetName val="2005"/>
      <sheetName val="名簿ﾃﾞｰﾀ"/>
      <sheetName val="表示リスト（変更禁止）"/>
      <sheetName val="車両寸法"/>
      <sheetName val="灯火器寸法"/>
      <sheetName val="DATA計"/>
      <sheetName val="会社概況(国内)"/>
      <sheetName val="見積依頼書(海外)"/>
      <sheetName val="05-2"/>
      <sheetName val="連結新規"/>
      <sheetName val="実績台帳_クエリ"/>
      <sheetName val="ﾘｽﾄ"/>
      <sheetName val="日報"/>
      <sheetName val="00年９末"/>
      <sheetName val="データ"/>
      <sheetName val="Side &amp; Pole"/>
      <sheetName val="#20号車排ガス"/>
      <sheetName val="PROD-TF"/>
      <sheetName val="SUM"/>
      <sheetName val="G Van - Price Build up"/>
      <sheetName val="MENU"/>
      <sheetName val="PL"/>
      <sheetName val="Injection Foam (4)"/>
      <sheetName val="FB sepa S2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生産性評価集計用クエリ"/>
      <sheetName val="出図表"/>
      <sheetName val="テーブル"/>
      <sheetName val="調査依頼"/>
      <sheetName val="LIST1"/>
      <sheetName val="BAAC集計"/>
      <sheetName val="基準"/>
      <sheetName val="11月"/>
      <sheetName val="新規00上ｸﾞﾗﾌ"/>
      <sheetName val="予算推移"/>
      <sheetName val="リスト"/>
      <sheetName val="SPEC"/>
      <sheetName val="????? _x0015_ Op"/>
      <sheetName val="メイン画面 _x0015_ Op"/>
      <sheetName val="MS"/>
      <sheetName val="変更概要まとめ"/>
      <sheetName val="Vehicle Numb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030718"/>
      <sheetName val="TT (13)"/>
      <sheetName val="AS-A"/>
      <sheetName val="初期値"/>
      <sheetName val="Ass'y-A (Day)"/>
      <sheetName val="input"/>
      <sheetName val="Annual Sales"/>
      <sheetName val="ﾃﾞｰﾀ"/>
      <sheetName val="WJ素材費"/>
      <sheetName val="課題一覧"/>
      <sheetName val="Draft Vehicle Format"/>
      <sheetName val="ﾊﾞﾗﾝｻｰcal"/>
      <sheetName val="ｺﾝﾛｯﾄﾞcal"/>
      <sheetName val="ｸﾗﾝｸｹｰｽcal"/>
      <sheetName val="出荷車型"/>
      <sheetName val="Index"/>
      <sheetName val="Average"/>
      <sheetName val="Type I"/>
      <sheetName val="F4301"/>
      <sheetName val="試験依頼管理表"/>
      <sheetName val="190BODY EMATRIX"/>
      <sheetName val="分類"/>
      <sheetName val="1. Prod. (BG  TG   AC) 2016"/>
      <sheetName val="Compare Budget &amp; Actual Order"/>
      <sheetName val="LCV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1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米国輸入ソース推移"/>
      <sheetName val="27.進捗管理"/>
      <sheetName val="Datasheet"/>
      <sheetName val="①cパターンルール"/>
      <sheetName val="GROUP A"/>
      <sheetName val="P3"/>
      <sheetName val="評価ﾏﾄﾘｸｽ"/>
      <sheetName val="座面面圧計算表の使用方法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ｺｰﾄﾞ"/>
      <sheetName val="償却率"/>
      <sheetName val=""/>
      <sheetName val="TABLE(LINE CODE)"/>
      <sheetName val="ﾄﾞﾛｯﾌﾟﾀﾞｳﾝLIST"/>
      <sheetName val="メンバー"/>
      <sheetName val="選択リスト(削除不可)"/>
      <sheetName val="プルダウンネタ"/>
      <sheetName val="Actual"/>
      <sheetName val="LVMAY"/>
      <sheetName val="EU設試プログラム管理表（裏）"/>
      <sheetName val="Sheet4"/>
      <sheetName val="_____ _x0015_ Op"/>
      <sheetName val="_____ _x005f_x0015_ Op"/>
      <sheetName val="メイン画面 _x005f_x0015_ Op"/>
      <sheetName val="Graph"/>
      <sheetName val="_MISSION"/>
      <sheetName val="134車型&amp;仕様"/>
      <sheetName val="(旧)LIST"/>
      <sheetName val="700vol"/>
      <sheetName val="Annual Production"/>
      <sheetName val="価格一覧"/>
      <sheetName val="市販品"/>
      <sheetName val="特注品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ﾍﾞﾝﾁ"/>
      <sheetName val="グループDB"/>
      <sheetName val="変更項目・評価内容"/>
      <sheetName val="全社"/>
      <sheetName val="CRITERIA1"/>
      <sheetName val="PPA -  โรงงาน JIG"/>
      <sheetName val="ヘム型タイプ標準計画金額表"/>
      <sheetName val="TTO2-B43#FCPA"/>
      <sheetName val="N900凯威4500&amp;4750 PP 样车FCPA评审"/>
      <sheetName val="Mixanal"/>
      <sheetName val="104-Ⅰ計画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T基礎点"/>
      <sheetName val="T退職金Point"/>
      <sheetName val="入力分類"/>
      <sheetName val="SHOT-A(N)"/>
      <sheetName val="板厚-ｺｲﾙ巾"/>
      <sheetName val="RWP 33"/>
      <sheetName val="G&amp;A"/>
      <sheetName val="Supp.Lis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1WT素材費"/>
      <sheetName val="部位名"/>
      <sheetName val="国ｺｰﾄﾞ"/>
      <sheetName val="166N Plist"/>
      <sheetName val="リスクアセスメント表様式"/>
      <sheetName val="ｲﾝﾌﾟｯﾄｼｰﾄ"/>
      <sheetName val="グロマス仮"/>
      <sheetName val="PartsRist"/>
      <sheetName val="Toggle Details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Vol条件見直し"/>
      <sheetName val="非稼働集計"/>
      <sheetName val="バス"/>
      <sheetName val="HUB 4X4 OP6A 251218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Key Index"/>
      <sheetName val="WŒvðŒ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H””ärQ"/>
      <sheetName val="表5-2 地区別CO2排出実績"/>
      <sheetName val="Source"/>
      <sheetName val="部門課題"/>
      <sheetName val="THAI SPEC NO."/>
      <sheetName val="0) Route Planning"/>
      <sheetName val="D1) Driver List"/>
      <sheetName val="ﾃﾞｰﾀｼｰﾄ"/>
      <sheetName val="Form"/>
      <sheetName val="Structure"/>
      <sheetName val="MASTER"/>
      <sheetName val="P2 BUDGET"/>
      <sheetName val="CAP SEW.RFRJ Sale#2 "/>
      <sheetName val="COIL B-6"/>
      <sheetName val="K"/>
      <sheetName val="FML"/>
      <sheetName val="重量表コピー"/>
      <sheetName val="取引先格付"/>
      <sheetName val="DATA NILAI TEST BATCH 1"/>
      <sheetName val="受入新仕入先"/>
      <sheetName val="見積依頼書(日文)"/>
      <sheetName val="03年全部"/>
      <sheetName val="#REF!"/>
      <sheetName val="案"/>
      <sheetName val="運用CT_クエリ_クエリ"/>
      <sheetName val="114W2次設変部品確認（組立） (3)"/>
      <sheetName val="4JB1-T1"/>
      <sheetName val="INCA"/>
      <sheetName val="設定一覧"/>
      <sheetName val="A3_フレーム"/>
      <sheetName val="A5_フレーム"/>
      <sheetName val="フレーム重心(UG測定)"/>
      <sheetName val="寸法"/>
      <sheetName val="XREF"/>
      <sheetName val="貼付2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VAVE Progress Summary"/>
      <sheetName val="11_CPU単価"/>
      <sheetName val="08_P772報告書030530"/>
      <sheetName val="ocean_voyage"/>
      <sheetName val="_CV_ALL"/>
      <sheetName val="TF_;_C-19"/>
      <sheetName val="Time_study"/>
      <sheetName val="?????__Op"/>
      <sheetName val="メイン画面__Op"/>
      <sheetName val="Vehicle_Number"/>
      <sheetName val="GROUP_A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T F SERIES  (2)"/>
      <sheetName val="MOLD"/>
      <sheetName val="PPM"/>
      <sheetName val="????? _x005f_x0015_ Op"/>
      <sheetName val="初期03"/>
      <sheetName val="GRAFIK CYB 270"/>
      <sheetName val="U00"/>
      <sheetName val="投資ﾘｽﾄ"/>
      <sheetName val="項目定義"/>
      <sheetName val="เดือน ธ.ค.61    (2)"/>
      <sheetName val="国内ベタ EXCELファイル指定"/>
      <sheetName val="グラフ"/>
      <sheetName val="HOLE-UNIT TEMP"/>
      <sheetName val="Main Model"/>
      <sheetName val="16,7"/>
      <sheetName val="F混流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torq#7"/>
      <sheetName val="メーカー検索"/>
      <sheetName val="Orig Study for PPAP"/>
      <sheetName val="SCOP"/>
      <sheetName val="目標MAP_K3_MAP_TRG_MAX"/>
      <sheetName val="Count- Akim"/>
      <sheetName val="Additional Chassis"/>
      <sheetName val="WCAP Phasing"/>
      <sheetName val="Sheet2 (3)"/>
      <sheetName val="HUB-HOLDER ORI (2)"/>
      <sheetName val="HUB-HOLDER"/>
      <sheetName val="【参考】ECMｿﾌﾄID"/>
      <sheetName val="ทำข้อมูล"/>
      <sheetName val="実績原価"/>
      <sheetName val="1771"/>
      <sheetName val="1771.2"/>
      <sheetName val="生涯利益計画ｼｰﾄ"/>
      <sheetName val="Summary Plant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【ｸﾞﾗﾌ】P値V値"/>
      <sheetName val="Concept&amp;Cause"/>
      <sheetName val="平板Ｃ"/>
      <sheetName val="HE5AA実測"/>
      <sheetName val="main"/>
      <sheetName val="基準日および期間"/>
      <sheetName val="C3_N_DC改造投資2"/>
      <sheetName val="p_no_Coil"/>
      <sheetName val="COIL_C3-6"/>
      <sheetName val="表5-2_地区別CO2排出実績"/>
      <sheetName val="cover_(FAD)"/>
      <sheetName val="º½Ä²¸_P-11"/>
      <sheetName val="Key_Index"/>
      <sheetName val="Main_Model"/>
      <sheetName val="HOLE-UNIT_TEMP"/>
      <sheetName val="1771_2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status"/>
      <sheetName val="ﾌﾟﾛﾄ_P772分解5号機"/>
      <sheetName val="”開発狙い”一覧表"/>
      <sheetName val="PSM"/>
      <sheetName val="計画表"/>
      <sheetName val="SVASM"/>
      <sheetName val="SV単品"/>
      <sheetName val="ライン別負荷"/>
      <sheetName val="日当表"/>
      <sheetName val="200307検収漏れ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D2) Truck List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CRPQ"/>
      <sheetName val="PnL_2005 LE"/>
      <sheetName val="条件入力"/>
      <sheetName val="TP_Bud05_reGM"/>
      <sheetName val="前提表"/>
      <sheetName val="新規作成"/>
      <sheetName val="標試改訂"/>
      <sheetName val="車両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0409"/>
      <sheetName val="s-code"/>
      <sheetName val="選択項目"/>
      <sheetName val="NF"/>
      <sheetName val="パーツリスト"/>
      <sheetName val="comparision"/>
      <sheetName val="MENO"/>
      <sheetName val="印刷"/>
      <sheetName val="元帳"/>
      <sheetName val="_3199_187_192"/>
      <sheetName val="_原単位_"/>
      <sheetName val="차체부품 INS REPORT(갑)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_______Op"/>
      <sheetName val="_______x005f_x0015__Op"/>
      <sheetName val="メイン画面__x005f_x0015__Op"/>
      <sheetName val="N900凯威4500&amp;4750_PP_样车FCPA评审"/>
      <sheetName val="????730????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データシート(定地)_(2)13"/>
      <sheetName val="C3_N_DC改造投資13"/>
      <sheetName val="_FE_0919Cal_TP313"/>
      <sheetName val="2-A､B_3-A13"/>
      <sheetName val="Unit_Price15"/>
      <sheetName val="Sheet1_(2)15"/>
      <sheetName val="[LR・LTｸﾚｰﾑ分析_xls塅䕃⹌塅Et1_(2)14"/>
      <sheetName val="Production_Database_39914"/>
      <sheetName val="_LR・LTｸﾚｰﾑ分析_xls塅䕃⹌塅Et1_(2)14"/>
      <sheetName val="LAY-OUT_13"/>
      <sheetName val="11_CPU単価3"/>
      <sheetName val="08_P772報告書0305303"/>
      <sheetName val="ocean_voyage3"/>
      <sheetName val="_CV_ALL3"/>
      <sheetName val="MPL_技連14"/>
      <sheetName val="342E_BLOCK14"/>
      <sheetName val="SPEC_LIST13"/>
      <sheetName val="342A_Block13"/>
      <sheetName val="〈参考〉_P_7_シフトINディテント力13"/>
      <sheetName val="ﾟ発表No_113"/>
      <sheetName val="A2_99013"/>
      <sheetName val="BP_volume_(2)13"/>
      <sheetName val="BP_volume13"/>
      <sheetName val="20kb_CR13"/>
      <sheetName val="summary_(BP_ISZJ_Mar'12)13"/>
      <sheetName val="PnL_2006_LE13"/>
      <sheetName val="Master_Route4"/>
      <sheetName val="NC-3_dAY13"/>
      <sheetName val="Page_3_(Samrong_UA)13"/>
      <sheetName val="Page_4_(Gateway-TF)13"/>
      <sheetName val="P_113"/>
      <sheetName val="200P_SHEET13"/>
      <sheetName val="Table_Master13"/>
      <sheetName val="total_change&amp;add4"/>
      <sheetName val="Distance_Master4"/>
      <sheetName val="Driver_Master4"/>
      <sheetName val="Truck_Master4"/>
      <sheetName val="Allowance_Master4"/>
      <sheetName val="Car_Input13"/>
      <sheetName val="part_list_ext_crew13"/>
      <sheetName val="TF_;_C-193"/>
      <sheetName val="Time_study3"/>
      <sheetName val="日程表_3X4"/>
      <sheetName val="R_GRILLE13"/>
      <sheetName val="ap_1713"/>
      <sheetName val="133NPR55_69_EC4"/>
      <sheetName val="Side_&amp;_Pole13"/>
      <sheetName val="G_Van_-_Price_Build_up4"/>
      <sheetName val="Injection_Foam_(4)4"/>
      <sheetName val="FB_sepa_S24"/>
      <sheetName val="EPW_06304"/>
      <sheetName val="Pick_up4"/>
      <sheetName val="The_Rule3"/>
      <sheetName val="Vehicle_Number1"/>
      <sheetName val="COMMON_23"/>
      <sheetName val="TT_(13)4"/>
      <sheetName val="Ass'y-A_(Day)4"/>
      <sheetName val="Annual_Sales3"/>
      <sheetName val="Draft_Vehicle_Format3"/>
      <sheetName val="Type_I3"/>
      <sheetName val="190BODY_EMATRIX13"/>
      <sheetName val="1__Prod__(BG__TG___AC)_20164"/>
      <sheetName val="Compare_Budget_&amp;_Actual_Order4"/>
      <sheetName val="ES01_トルクカーブ_201211153"/>
      <sheetName val="Welding_#23"/>
      <sheetName val="Cap__Injection_3"/>
      <sheetName val="3_Idea_Sewing_3"/>
      <sheetName val="27_進捗管理3"/>
      <sheetName val="GROUP_A1"/>
      <sheetName val="FUEL_FILLER4"/>
      <sheetName val="TABLE(LINE_CODE)3"/>
      <sheetName val="Annual_Production3"/>
      <sheetName val="PPA_-__โรงงาน_JIG2"/>
      <sheetName val="Control_fml3"/>
      <sheetName val="RWP_333"/>
      <sheetName val="Supp_List2"/>
      <sheetName val="FI1_COVER2"/>
      <sheetName val="0-VR4_FI12"/>
      <sheetName val="166N_Plist1"/>
      <sheetName val="Toggle_Details2"/>
      <sheetName val="HUB_4X4_OP6A_2512181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DATA_NILAI_TEST_BATCH_12"/>
      <sheetName val="114W2次設変部品確認（組立）_(3)2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VAVE_Progress_Summary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CT_F_SERIES__(2)"/>
      <sheetName val="?????__x005f_x0015__Op"/>
      <sheetName val="GRAFIK_CYB_270"/>
      <sheetName val="เดือน_ธ_ค_61____(2)"/>
      <sheetName val="国内ベタ_EXCELファイル指定"/>
      <sheetName val="HOLE-UNIT_TEMP3"/>
      <sheetName val="Main_Model3"/>
      <sheetName val="MAKER_LIST_&amp;_Rate_Change3"/>
      <sheetName val="Orig_Study_for_PPAP"/>
      <sheetName val="Count-_Akim2"/>
      <sheetName val="Additional_Chassis2"/>
      <sheetName val="WCAP_Phasing"/>
      <sheetName val="Sheet2_(3)"/>
      <sheetName val="HUB-HOLDER_ORI_(2)2"/>
      <sheetName val="1771_23"/>
      <sheetName val="Summary_Plant3"/>
      <sheetName val="Over_all_FS_A2"/>
      <sheetName val="MZX_EPH暫定対策"/>
      <sheetName val="MZX新規SPRING_ALT1"/>
      <sheetName val="MZX新規SPRING_ALT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2)_Truck_List1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看板 (2)"/>
      <sheetName val="Subgol"/>
      <sheetName val="_______x005f_x0015__Op1"/>
      <sheetName val="メイン画面__x005f_x0015__Op1"/>
      <sheetName val="N900凯威4500&amp;4750_PP_样车FCPA评审1"/>
      <sheetName val="購買担当"/>
      <sheetName val="LeafspringDetails"/>
      <sheetName val="発行表"/>
      <sheetName val="__ PLASTIC UP_TPIA "/>
      <sheetName val="PRE_BUDGET REPORT_2012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Sub Acc"/>
      <sheetName val="code01"/>
      <sheetName val="code04"/>
      <sheetName val="現況項目分け"/>
      <sheetName val="_____ _x005f_x005f_x005f_x0015_"/>
      <sheetName val="メイン画面 _x005f_x005f_x005f_x0015_"/>
      <sheetName val="_____ _x005f_x005f_x005f_x005f_"/>
      <sheetName val="メイン画面 _x005f_x005f_x005f_x005f_"/>
      <sheetName val="YÖN ÖZET DATA"/>
      <sheetName val="STMspry"/>
      <sheetName val="PsychroData"/>
      <sheetName val="Monthly1"/>
      <sheetName val="Monthly2"/>
      <sheetName val="2002"/>
      <sheetName val="97-11"/>
      <sheetName val="Vehicle_Number2"/>
      <sheetName val="GROUP_A2"/>
      <sheetName val="Data_Validation3"/>
      <sheetName val="_______x005f_x0015__Op2"/>
      <sheetName val="メイン画面__x005f_x0015__Op2"/>
      <sheetName val="N900凯威4500&amp;4750_PP_样车FCPA评审2"/>
      <sheetName val="Supp_List3"/>
      <sheetName val="FI1_COVER3"/>
      <sheetName val="0-VR4_FI13"/>
      <sheetName val="166N_Plist2"/>
      <sheetName val="Toggle_Details3"/>
      <sheetName val="HUB_4X4_OP6A_2512182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VAVE_Progress_Summary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CT_F_SERIES__(2)1"/>
      <sheetName val="?????__x005f_x0015__Op1"/>
      <sheetName val="GRAFIK_CYB_2701"/>
      <sheetName val="เดือน_ธ_ค_61____(2)1"/>
      <sheetName val="国内ベタ_EXCELファイル指定1"/>
      <sheetName val="Orig_Study_for_PPAP1"/>
      <sheetName val="WCAP_Phasing1"/>
      <sheetName val="Sheet2_(3)1"/>
      <sheetName val="MZX_EPH暫定対策1"/>
      <sheetName val="MZX新規SPRING_ALT11"/>
      <sheetName val="MZX新規SPRING_ALT21"/>
      <sheetName val="#ofclose .xl"/>
      <sheetName val="SLAB"/>
      <sheetName val="吊上げパ(20)"/>
      <sheetName val="吊上げパ_20_"/>
      <sheetName val="ban-ling"/>
      <sheetName val="DtRework"/>
      <sheetName val="6B8MOD15"/>
      <sheetName val="2008年1-6月管理费用"/>
      <sheetName val="2008年1-6月销售费用"/>
      <sheetName val="目標管理表(実績）"/>
      <sheetName val="存货汇总表10"/>
      <sheetName val="Lead"/>
      <sheetName val="Sales breakdown"/>
      <sheetName val="TestResults"/>
      <sheetName val="入力カード"/>
      <sheetName val="Drop list"/>
      <sheetName val="No.16"/>
      <sheetName val="현금흐름표"/>
      <sheetName val="Fiel List"/>
      <sheetName val="Supplier Addresses"/>
      <sheetName val="aphc"/>
      <sheetName val="J21KPL"/>
      <sheetName val="Graph UT-2"/>
      <sheetName val="HMDKD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ELF"/>
      <sheetName val="Process BL Line C"/>
      <sheetName val="RANK"/>
      <sheetName val="blank form"/>
      <sheetName val="ตัวเลือก ห้ามลบ"/>
      <sheetName val="RT79"/>
      <sheetName val="プルダウン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all"/>
      <sheetName val="CR meeting Dec 2011"/>
      <sheetName val="850T_"/>
      <sheetName val="Reply_Sheet_(2)"/>
      <sheetName val="10_PPAP&amp;Pilot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Drop_list"/>
      <sheetName val="IGINT10"/>
      <sheetName val="New DYNA"/>
      <sheetName val="作業要素"/>
      <sheetName val="HARGA MATERIAL"/>
      <sheetName val="new"/>
      <sheetName val="data Ext. 3 month "/>
      <sheetName val="3.Problem"/>
      <sheetName val="data Ext. 3 month  (NEW)"/>
      <sheetName val="ADM0298"/>
      <sheetName val="Analisa"/>
      <sheetName val="Master_Route5"/>
      <sheetName val="G_Van_-_Price_Build_up5"/>
      <sheetName val="total_change&amp;add5"/>
      <sheetName val="Injection_Foam_(4)5"/>
      <sheetName val="FB_sepa_S25"/>
      <sheetName val="EPW_06305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cover_(FAD)4"/>
      <sheetName val="º½Ä²¸_P-15"/>
      <sheetName val="Data_validation4"/>
      <sheetName val="Key_Index4"/>
      <sheetName val="Annual_Production4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Transport_service_price"/>
      <sheetName val="CR_meeting_Dec_2011"/>
      <sheetName val="時刻指定"/>
      <sheetName val="Test Data"/>
      <sheetName val="ABS_SUMMARY"/>
      <sheetName val="___PLASTIC_UP_TPIA_"/>
      <sheetName val="PRE_BUDGET_REPORT_2012"/>
      <sheetName val="Sub_Acc"/>
      <sheetName val="IMV640A DT"/>
      <sheetName val="他データ"/>
      <sheetName val="QM_20Apl"/>
      <sheetName val="Detail"/>
      <sheetName val="Status Base"/>
      <sheetName val="Formulas"/>
      <sheetName val="Input Sheet Comp"/>
      <sheetName val="ﾏｸﾛ用"/>
      <sheetName val="入力情報"/>
      <sheetName val="単価①"/>
      <sheetName val="基礎ﾃﾞｰﾀ"/>
      <sheetName val="営業明細"/>
      <sheetName val="生産開発明細"/>
      <sheetName val="届出諸元値DB"/>
      <sheetName val="CELE GROUP"/>
      <sheetName val="CCtr Group"/>
      <sheetName val="ﾁｬｰｼﾞｸｰﾗ出口温度"/>
      <sheetName val="修正"/>
      <sheetName val="原価"/>
      <sheetName val="TIRE読み替#REF!#REF!表"/>
      <sheetName val="PS 1"/>
      <sheetName val="PSX-01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完了"/>
      <sheetName val="ใบหน้า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WCAP_Phasing2"/>
      <sheetName val="国内ベタ_EXCELファイル指定2"/>
      <sheetName val="Sheet2_(3)2"/>
      <sheetName val="DATA_NILAI_TEST_BATCH_13"/>
      <sheetName val="PPA_-__โรงงาน_JIG3"/>
      <sheetName val="114W2次設変部品確認（組立）_(3)3"/>
      <sheetName val="차체부품_INS_REPORT(갑)1"/>
      <sheetName val="①　BP_vs_SPR_(TTL_Impact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___PLASTIC_UP_TPIA_1"/>
      <sheetName val="PRE_BUDGET_REPORT_20121"/>
      <sheetName val="Sub_Acc1"/>
      <sheetName val="#ofclose__xl"/>
      <sheetName val="Sales_breakdown"/>
      <sheetName val="No_16"/>
      <sheetName val="Fiel_List"/>
      <sheetName val="Supplier_Addresses"/>
      <sheetName val="List Line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持分率"/>
      <sheetName val="社名ＭＦ"/>
      <sheetName val="Maintenance Work Order"/>
      <sheetName val="NET表"/>
      <sheetName val="BQ表"/>
      <sheetName val="国内WL販"/>
      <sheetName val="海外WL販"/>
      <sheetName val="ｼｽﾃﾑ使用料ｼﾐｭﾚｰｼｮﾝ (2)"/>
      <sheetName val="入力規則"/>
      <sheetName val="流量確認結果"/>
      <sheetName val="(部門)"/>
      <sheetName val="ヘッダー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DATA "/>
      <sheetName val="PRASS99"/>
      <sheetName val="RG04　IMCT認証準備"/>
      <sheetName val="56112"/>
      <sheetName val="New VL20 EURO3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倉庫ＩＣ"/>
      <sheetName val="各地区気温"/>
      <sheetName val="3"/>
      <sheetName val="내역"/>
      <sheetName val="0"/>
      <sheetName val="90-2"/>
      <sheetName val="11_CPU単価5"/>
      <sheetName val="08_P772報告書0305305"/>
      <sheetName val="ocean_voyage5"/>
      <sheetName val="_CV_ALL5"/>
      <sheetName val="Master_Route6"/>
      <sheetName val="total_change&amp;add6"/>
      <sheetName val="Distance_Master6"/>
      <sheetName val="Driver_Master6"/>
      <sheetName val="Truck_Master6"/>
      <sheetName val="Allowance_Master6"/>
      <sheetName val="TF_;_C-195"/>
      <sheetName val="Time_study5"/>
      <sheetName val="日程表_3X6"/>
      <sheetName val="133NPR55_69_EC6"/>
      <sheetName val="G_Van_-_Price_Build_up6"/>
      <sheetName val="Injection_Foam_(4)6"/>
      <sheetName val="FB_sepa_S26"/>
      <sheetName val="EPW_06306"/>
      <sheetName val="Pick_up6"/>
      <sheetName val="The_Rule5"/>
      <sheetName val="Vehicle_Number3"/>
      <sheetName val="COMMON_25"/>
      <sheetName val="TT_(13)6"/>
      <sheetName val="Ass'y-A_(Day)6"/>
      <sheetName val="Annual_Sales5"/>
      <sheetName val="Draft_Vehicle_Format5"/>
      <sheetName val="Type_I5"/>
      <sheetName val="1__Prod__(BG__TG___AC)_20166"/>
      <sheetName val="Compare_Budget_&amp;_Actual_Order6"/>
      <sheetName val="ES01_トルクカーブ_201211155"/>
      <sheetName val="Welding_#25"/>
      <sheetName val="Cap__Injection_5"/>
      <sheetName val="3_Idea_Sewing_5"/>
      <sheetName val="27_進捗管理5"/>
      <sheetName val="GROUP_A3"/>
      <sheetName val="FUEL_FILLER6"/>
      <sheetName val="TABLE(LINE_CODE)5"/>
      <sheetName val="_______x005f_x0015__Op3"/>
      <sheetName val="メイン画面__x005f_x0015__Op3"/>
      <sheetName val="Annual_Production5"/>
      <sheetName val="N900凯威4500&amp;4750_PP_样车FCPA评审3"/>
      <sheetName val="Control_fml5"/>
      <sheetName val="RWP_335"/>
      <sheetName val="Supp_List4"/>
      <sheetName val="FI1_COVER4"/>
      <sheetName val="0-VR4_FI14"/>
      <sheetName val="Toggle_Details4"/>
      <sheetName val="HUB_4X4_OP6A_2512183"/>
      <sheetName val="166N_Plist3"/>
      <sheetName val="p_no_Coil5"/>
      <sheetName val="COIL_C3-65"/>
      <sheetName val="Key_Index5"/>
      <sheetName val="cover_(FAD)5"/>
      <sheetName val="º½Ä²¸_P-16"/>
      <sheetName val="表5-2_地区別CO2排出実績5"/>
      <sheetName val="THAI_SPEC_NO_5"/>
      <sheetName val="0)_Route_Planning5"/>
      <sheetName val="D1)_Driver_List5"/>
      <sheetName val="P2_BUDGET4"/>
      <sheetName val="CAP_SEW_RFRJ_Sale#2_5"/>
      <sheetName val="COIL_B-65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VAVE_Progress_Summary2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CT_F_SERIES__(2)3"/>
      <sheetName val="?????__x005f_x0015__Op2"/>
      <sheetName val="GRAFIK_CYB_2702"/>
      <sheetName val="เดือน_ธ_ค_61____(2)2"/>
      <sheetName val="HOLE-UNIT_TEMP5"/>
      <sheetName val="Main_Model5"/>
      <sheetName val="MAKER_LIST_&amp;_Rate_Change5"/>
      <sheetName val="Orig_Study_for_PPAP3"/>
      <sheetName val="Count-_Akim4"/>
      <sheetName val="Additional_Chassis4"/>
      <sheetName val="HUB-HOLDER_ORI_(2)4"/>
      <sheetName val="1771_25"/>
      <sheetName val="Summary_Plant5"/>
      <sheetName val="Over_all_FS_A4"/>
      <sheetName val="MZX_EPH暫定対策2"/>
      <sheetName val="MZX新規SPRING_ALT12"/>
      <sheetName val="MZX新規SPRING_ALT22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DATA__CONE3"/>
      <sheetName val="DATA__CUP3"/>
      <sheetName val="Report_Compare_PM3"/>
      <sheetName val="Data_All_3"/>
      <sheetName val="Fix_Cost_Rev_03"/>
      <sheetName val="PP_Letter_389N2"/>
      <sheetName val="PnL_2005_LE1"/>
      <sheetName val="看板_(2)"/>
      <sheetName val="_%_PLASTIC_UP_TPIA_"/>
      <sheetName val="3f_Volume,_Mix_&amp;_Option_rate"/>
      <sheetName val="P_2_Price_Strategy"/>
      <sheetName val="2f_Pricing_Strategy"/>
      <sheetName val="_______x005f_x005f_x005f_x0015_"/>
      <sheetName val="メイン画面__x005f_x005f_x005f_x0015_"/>
      <sheetName val="_______x005f_x005f_x005f_x005f_"/>
      <sheetName val="メイン画面__x005f_x005f_x005f_x005f_"/>
      <sheetName val="YÖN_ÖZET_DATA"/>
      <sheetName val="Drop_list2"/>
      <sheetName val="Graph_UT-2"/>
      <sheetName val="850T_2"/>
      <sheetName val="Reply_Sheet_(2)2"/>
      <sheetName val="10_PPAP&amp;Pilot2"/>
      <sheetName val="RG12_THAI_SPEC_NO_2"/>
      <sheetName val="ID_WORKER2"/>
      <sheetName val="DATA_FT2"/>
      <sheetName val="DATA_RAD2"/>
      <sheetName val="Process_BL_Line_C2"/>
      <sheetName val="blank_form2"/>
      <sheetName val="ตัวเลือก_ห้ามลบ2"/>
      <sheetName val="Transport_service_price1"/>
      <sheetName val="CR_meeting_Dec_20111"/>
      <sheetName val="New_DYNA"/>
      <sheetName val="HARGA_MATERIAL"/>
      <sheetName val="data_Ext__3_month_"/>
      <sheetName val="3_Problem"/>
      <sheetName val="data_Ext__3_month__(NEW)"/>
      <sheetName val="Test_Data"/>
      <sheetName val="IMV640A_DT"/>
      <sheetName val="Status_Base"/>
      <sheetName val="Input_Sheet_Comp"/>
      <sheetName val="CELE_GROUP"/>
      <sheetName val="CCtr_Group"/>
      <sheetName val="?????"/>
      <sheetName val="PT-1"/>
      <sheetName val="FA023"/>
      <sheetName val="FA033"/>
      <sheetName val="FA043"/>
      <sheetName val="社員ﾃﾞｰﾀ"/>
      <sheetName val="MP SUMMARY 202205"/>
      <sheetName val="PDP"/>
      <sheetName val="P_NAME_DWG"/>
      <sheetName val="Master coil Feb'23"/>
      <sheetName val="ตัวเลือก ห้ามลบ (2)"/>
      <sheetName val="MONTHLY"/>
      <sheetName val="②"/>
      <sheetName val="Daily NG"/>
      <sheetName val="1106-M&amp;E"/>
      <sheetName val="1105-B&amp;I-OK"/>
      <sheetName val="????"/>
      <sheetName val="6594-original"/>
      <sheetName val="PJN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Graph UT-1"/>
      <sheetName val="Bill No. 2 - Carpark"/>
      <sheetName val="13下提案Ａ．P2"/>
      <sheetName val="CHRTACCT"/>
      <sheetName val="Daily Receiving"/>
      <sheetName val="タ行"/>
      <sheetName val="命令書"/>
      <sheetName val="非固内訳"/>
      <sheetName val="PPA_-__โรงงาน_JIG4"/>
      <sheetName val="DATA_NILAI_TEST_BATCH_14"/>
      <sheetName val="114W2次設変部品確認（組立）_(3)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Daily_Receiving"/>
      <sheetName val="_%_PLASTIC_UP_TPIA_1"/>
      <sheetName val="3f_Volume,_Mix_&amp;_Option_rate1"/>
      <sheetName val="P_2_Price_Strategy1"/>
      <sheetName val="2f_Pricing_Strategy1"/>
      <sheetName val="Fiel_List1"/>
      <sheetName val="Test_Data1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___PLASTIC_UP_TPIA_2"/>
      <sheetName val="PRE_BUDGET_REPORT_20122"/>
      <sheetName val="Sub_Acc2"/>
      <sheetName val="IMV640A_DT1"/>
      <sheetName val="Table Data Native"/>
      <sheetName val="Table Data USD"/>
      <sheetName val="Graph รายได้ Fill In"/>
      <sheetName val="03中"/>
      <sheetName val="CP LH"/>
      <sheetName val="RACK (CB)new"/>
      <sheetName val="Graph_รายได้_Fill_In"/>
      <sheetName val="ﾌﾟﾚｽ"/>
      <sheetName val="Report progress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>
        <row r="2">
          <cell r="A2">
            <v>1</v>
          </cell>
        </row>
      </sheetData>
      <sheetData sheetId="335">
        <row r="2">
          <cell r="A2">
            <v>1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2">
          <cell r="A2">
            <v>1</v>
          </cell>
        </row>
      </sheetData>
      <sheetData sheetId="369"/>
      <sheetData sheetId="370">
        <row r="2">
          <cell r="A2">
            <v>1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2">
          <cell r="A2">
            <v>1</v>
          </cell>
        </row>
      </sheetData>
      <sheetData sheetId="452"/>
      <sheetData sheetId="453"/>
      <sheetData sheetId="454"/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>
        <row r="2">
          <cell r="A2">
            <v>1</v>
          </cell>
        </row>
      </sheetData>
      <sheetData sheetId="483">
        <row r="2">
          <cell r="A2">
            <v>1</v>
          </cell>
        </row>
      </sheetData>
      <sheetData sheetId="484">
        <row r="2">
          <cell r="A2">
            <v>1</v>
          </cell>
        </row>
      </sheetData>
      <sheetData sheetId="485">
        <row r="2">
          <cell r="A2">
            <v>1</v>
          </cell>
        </row>
      </sheetData>
      <sheetData sheetId="486">
        <row r="2">
          <cell r="A2">
            <v>1</v>
          </cell>
        </row>
      </sheetData>
      <sheetData sheetId="487">
        <row r="2">
          <cell r="A2">
            <v>1</v>
          </cell>
        </row>
      </sheetData>
      <sheetData sheetId="488">
        <row r="2">
          <cell r="A2">
            <v>1</v>
          </cell>
        </row>
      </sheetData>
      <sheetData sheetId="489">
        <row r="2">
          <cell r="A2">
            <v>1</v>
          </cell>
        </row>
      </sheetData>
      <sheetData sheetId="490">
        <row r="2">
          <cell r="A2">
            <v>1</v>
          </cell>
        </row>
      </sheetData>
      <sheetData sheetId="491">
        <row r="2">
          <cell r="A2">
            <v>1</v>
          </cell>
        </row>
      </sheetData>
      <sheetData sheetId="492">
        <row r="2">
          <cell r="A2">
            <v>1</v>
          </cell>
        </row>
      </sheetData>
      <sheetData sheetId="493">
        <row r="2">
          <cell r="A2">
            <v>1</v>
          </cell>
        </row>
      </sheetData>
      <sheetData sheetId="494">
        <row r="2">
          <cell r="A2">
            <v>1</v>
          </cell>
        </row>
      </sheetData>
      <sheetData sheetId="495">
        <row r="2">
          <cell r="A2">
            <v>1</v>
          </cell>
        </row>
      </sheetData>
      <sheetData sheetId="496">
        <row r="2">
          <cell r="A2">
            <v>1</v>
          </cell>
        </row>
      </sheetData>
      <sheetData sheetId="497">
        <row r="2">
          <cell r="A2">
            <v>1</v>
          </cell>
        </row>
      </sheetData>
      <sheetData sheetId="498">
        <row r="2">
          <cell r="A2">
            <v>1</v>
          </cell>
        </row>
      </sheetData>
      <sheetData sheetId="499">
        <row r="2">
          <cell r="A2">
            <v>1</v>
          </cell>
        </row>
      </sheetData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>
        <row r="2">
          <cell r="A2">
            <v>1</v>
          </cell>
        </row>
      </sheetData>
      <sheetData sheetId="503">
        <row r="2">
          <cell r="A2">
            <v>1</v>
          </cell>
        </row>
      </sheetData>
      <sheetData sheetId="504">
        <row r="2">
          <cell r="A2">
            <v>1</v>
          </cell>
        </row>
      </sheetData>
      <sheetData sheetId="505">
        <row r="2">
          <cell r="A2">
            <v>1</v>
          </cell>
        </row>
      </sheetData>
      <sheetData sheetId="506">
        <row r="2">
          <cell r="A2">
            <v>1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2">
          <cell r="A2">
            <v>1</v>
          </cell>
        </row>
      </sheetData>
      <sheetData sheetId="576">
        <row r="2">
          <cell r="A2">
            <v>1</v>
          </cell>
        </row>
      </sheetData>
      <sheetData sheetId="577">
        <row r="2">
          <cell r="A2">
            <v>1</v>
          </cell>
        </row>
      </sheetData>
      <sheetData sheetId="578">
        <row r="2">
          <cell r="A2">
            <v>1</v>
          </cell>
        </row>
      </sheetData>
      <sheetData sheetId="579">
        <row r="2">
          <cell r="A2">
            <v>1</v>
          </cell>
        </row>
      </sheetData>
      <sheetData sheetId="580">
        <row r="2">
          <cell r="A2">
            <v>1</v>
          </cell>
        </row>
      </sheetData>
      <sheetData sheetId="581">
        <row r="2">
          <cell r="A2">
            <v>1</v>
          </cell>
        </row>
      </sheetData>
      <sheetData sheetId="582">
        <row r="2">
          <cell r="A2">
            <v>1</v>
          </cell>
        </row>
      </sheetData>
      <sheetData sheetId="583">
        <row r="2">
          <cell r="A2">
            <v>1</v>
          </cell>
        </row>
      </sheetData>
      <sheetData sheetId="584">
        <row r="2">
          <cell r="A2">
            <v>1</v>
          </cell>
        </row>
      </sheetData>
      <sheetData sheetId="585">
        <row r="2">
          <cell r="A2">
            <v>1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>
        <row r="2">
          <cell r="A2">
            <v>1</v>
          </cell>
        </row>
      </sheetData>
      <sheetData sheetId="600">
        <row r="2">
          <cell r="A2">
            <v>1</v>
          </cell>
        </row>
      </sheetData>
      <sheetData sheetId="601">
        <row r="2">
          <cell r="A2">
            <v>1</v>
          </cell>
        </row>
      </sheetData>
      <sheetData sheetId="602">
        <row r="2">
          <cell r="A2">
            <v>1</v>
          </cell>
        </row>
      </sheetData>
      <sheetData sheetId="603">
        <row r="2">
          <cell r="A2">
            <v>1</v>
          </cell>
        </row>
      </sheetData>
      <sheetData sheetId="604">
        <row r="2">
          <cell r="A2">
            <v>1</v>
          </cell>
        </row>
      </sheetData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2">
          <cell r="A2">
            <v>1</v>
          </cell>
        </row>
      </sheetData>
      <sheetData sheetId="632">
        <row r="2">
          <cell r="A2">
            <v>1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/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 refreshError="1"/>
      <sheetData sheetId="734" refreshError="1"/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>
        <row r="2">
          <cell r="A2">
            <v>1</v>
          </cell>
        </row>
      </sheetData>
      <sheetData sheetId="739">
        <row r="2">
          <cell r="A2">
            <v>1</v>
          </cell>
        </row>
      </sheetData>
      <sheetData sheetId="740">
        <row r="2">
          <cell r="A2">
            <v>1</v>
          </cell>
        </row>
      </sheetData>
      <sheetData sheetId="741">
        <row r="2">
          <cell r="A2">
            <v>1</v>
          </cell>
        </row>
      </sheetData>
      <sheetData sheetId="742">
        <row r="2">
          <cell r="A2">
            <v>1</v>
          </cell>
        </row>
      </sheetData>
      <sheetData sheetId="743">
        <row r="2">
          <cell r="A2">
            <v>1</v>
          </cell>
        </row>
      </sheetData>
      <sheetData sheetId="744">
        <row r="2">
          <cell r="A2">
            <v>1</v>
          </cell>
        </row>
      </sheetData>
      <sheetData sheetId="745">
        <row r="2">
          <cell r="A2">
            <v>1</v>
          </cell>
        </row>
      </sheetData>
      <sheetData sheetId="746">
        <row r="2">
          <cell r="A2">
            <v>1</v>
          </cell>
        </row>
      </sheetData>
      <sheetData sheetId="747">
        <row r="2">
          <cell r="A2">
            <v>1</v>
          </cell>
        </row>
      </sheetData>
      <sheetData sheetId="748">
        <row r="2">
          <cell r="A2">
            <v>1</v>
          </cell>
        </row>
      </sheetData>
      <sheetData sheetId="749">
        <row r="2">
          <cell r="A2">
            <v>1</v>
          </cell>
        </row>
      </sheetData>
      <sheetData sheetId="750">
        <row r="2">
          <cell r="A2">
            <v>1</v>
          </cell>
        </row>
      </sheetData>
      <sheetData sheetId="751">
        <row r="2">
          <cell r="A2">
            <v>1</v>
          </cell>
        </row>
      </sheetData>
      <sheetData sheetId="752">
        <row r="2">
          <cell r="A2">
            <v>1</v>
          </cell>
        </row>
      </sheetData>
      <sheetData sheetId="753">
        <row r="2">
          <cell r="A2">
            <v>1</v>
          </cell>
        </row>
      </sheetData>
      <sheetData sheetId="754">
        <row r="2">
          <cell r="A2">
            <v>1</v>
          </cell>
        </row>
      </sheetData>
      <sheetData sheetId="755">
        <row r="2">
          <cell r="A2">
            <v>1</v>
          </cell>
        </row>
      </sheetData>
      <sheetData sheetId="756">
        <row r="2">
          <cell r="A2">
            <v>1</v>
          </cell>
        </row>
      </sheetData>
      <sheetData sheetId="757">
        <row r="2">
          <cell r="A2">
            <v>1</v>
          </cell>
        </row>
      </sheetData>
      <sheetData sheetId="758">
        <row r="2">
          <cell r="A2">
            <v>1</v>
          </cell>
        </row>
      </sheetData>
      <sheetData sheetId="759">
        <row r="2">
          <cell r="A2">
            <v>1</v>
          </cell>
        </row>
      </sheetData>
      <sheetData sheetId="760">
        <row r="2">
          <cell r="A2">
            <v>1</v>
          </cell>
        </row>
      </sheetData>
      <sheetData sheetId="761" refreshError="1"/>
      <sheetData sheetId="762">
        <row r="2">
          <cell r="A2">
            <v>1</v>
          </cell>
        </row>
      </sheetData>
      <sheetData sheetId="763">
        <row r="2">
          <cell r="A2">
            <v>1</v>
          </cell>
        </row>
      </sheetData>
      <sheetData sheetId="764">
        <row r="2">
          <cell r="A2">
            <v>1</v>
          </cell>
        </row>
      </sheetData>
      <sheetData sheetId="765">
        <row r="2">
          <cell r="A2">
            <v>1</v>
          </cell>
        </row>
      </sheetData>
      <sheetData sheetId="766">
        <row r="2">
          <cell r="A2">
            <v>1</v>
          </cell>
        </row>
      </sheetData>
      <sheetData sheetId="767">
        <row r="2">
          <cell r="A2">
            <v>1</v>
          </cell>
        </row>
      </sheetData>
      <sheetData sheetId="768">
        <row r="2">
          <cell r="A2">
            <v>1</v>
          </cell>
        </row>
      </sheetData>
      <sheetData sheetId="769">
        <row r="2">
          <cell r="A2">
            <v>1</v>
          </cell>
        </row>
      </sheetData>
      <sheetData sheetId="770">
        <row r="2">
          <cell r="A2">
            <v>1</v>
          </cell>
        </row>
      </sheetData>
      <sheetData sheetId="771"/>
      <sheetData sheetId="772">
        <row r="2">
          <cell r="A2">
            <v>1</v>
          </cell>
        </row>
      </sheetData>
      <sheetData sheetId="773">
        <row r="2">
          <cell r="A2">
            <v>1</v>
          </cell>
        </row>
      </sheetData>
      <sheetData sheetId="774">
        <row r="2">
          <cell r="A2">
            <v>1</v>
          </cell>
        </row>
      </sheetData>
      <sheetData sheetId="775">
        <row r="2">
          <cell r="A2">
            <v>1</v>
          </cell>
        </row>
      </sheetData>
      <sheetData sheetId="776">
        <row r="2">
          <cell r="A2">
            <v>1</v>
          </cell>
        </row>
      </sheetData>
      <sheetData sheetId="777">
        <row r="2">
          <cell r="A2">
            <v>1</v>
          </cell>
        </row>
      </sheetData>
      <sheetData sheetId="778">
        <row r="2">
          <cell r="A2">
            <v>1</v>
          </cell>
        </row>
      </sheetData>
      <sheetData sheetId="779">
        <row r="2">
          <cell r="A2">
            <v>1</v>
          </cell>
        </row>
      </sheetData>
      <sheetData sheetId="780">
        <row r="2">
          <cell r="A2">
            <v>1</v>
          </cell>
        </row>
      </sheetData>
      <sheetData sheetId="781">
        <row r="2">
          <cell r="A2">
            <v>1</v>
          </cell>
        </row>
      </sheetData>
      <sheetData sheetId="782">
        <row r="2">
          <cell r="A2">
            <v>1</v>
          </cell>
        </row>
      </sheetData>
      <sheetData sheetId="783">
        <row r="2">
          <cell r="A2">
            <v>1</v>
          </cell>
        </row>
      </sheetData>
      <sheetData sheetId="784">
        <row r="2">
          <cell r="A2">
            <v>1</v>
          </cell>
        </row>
      </sheetData>
      <sheetData sheetId="785">
        <row r="2">
          <cell r="A2">
            <v>1</v>
          </cell>
        </row>
      </sheetData>
      <sheetData sheetId="786">
        <row r="2">
          <cell r="A2">
            <v>1</v>
          </cell>
        </row>
      </sheetData>
      <sheetData sheetId="787">
        <row r="2">
          <cell r="A2">
            <v>1</v>
          </cell>
        </row>
      </sheetData>
      <sheetData sheetId="788">
        <row r="2">
          <cell r="A2">
            <v>1</v>
          </cell>
        </row>
      </sheetData>
      <sheetData sheetId="789">
        <row r="2">
          <cell r="A2">
            <v>1</v>
          </cell>
        </row>
      </sheetData>
      <sheetData sheetId="790">
        <row r="2">
          <cell r="A2">
            <v>1</v>
          </cell>
        </row>
      </sheetData>
      <sheetData sheetId="791">
        <row r="2">
          <cell r="A2">
            <v>1</v>
          </cell>
        </row>
      </sheetData>
      <sheetData sheetId="792">
        <row r="2">
          <cell r="A2">
            <v>1</v>
          </cell>
        </row>
      </sheetData>
      <sheetData sheetId="793">
        <row r="2">
          <cell r="A2">
            <v>1</v>
          </cell>
        </row>
      </sheetData>
      <sheetData sheetId="794">
        <row r="2">
          <cell r="A2">
            <v>1</v>
          </cell>
        </row>
      </sheetData>
      <sheetData sheetId="795">
        <row r="2">
          <cell r="A2">
            <v>1</v>
          </cell>
        </row>
      </sheetData>
      <sheetData sheetId="796">
        <row r="2">
          <cell r="A2">
            <v>1</v>
          </cell>
        </row>
      </sheetData>
      <sheetData sheetId="797">
        <row r="2">
          <cell r="A2">
            <v>1</v>
          </cell>
        </row>
      </sheetData>
      <sheetData sheetId="798">
        <row r="2">
          <cell r="A2">
            <v>1</v>
          </cell>
        </row>
      </sheetData>
      <sheetData sheetId="799">
        <row r="2">
          <cell r="A2">
            <v>1</v>
          </cell>
        </row>
      </sheetData>
      <sheetData sheetId="800">
        <row r="2">
          <cell r="A2">
            <v>1</v>
          </cell>
        </row>
      </sheetData>
      <sheetData sheetId="801">
        <row r="2">
          <cell r="A2">
            <v>1</v>
          </cell>
        </row>
      </sheetData>
      <sheetData sheetId="802">
        <row r="2">
          <cell r="A2">
            <v>1</v>
          </cell>
        </row>
      </sheetData>
      <sheetData sheetId="803">
        <row r="2">
          <cell r="A2">
            <v>1</v>
          </cell>
        </row>
      </sheetData>
      <sheetData sheetId="804">
        <row r="2">
          <cell r="A2">
            <v>1</v>
          </cell>
        </row>
      </sheetData>
      <sheetData sheetId="805">
        <row r="2">
          <cell r="A2">
            <v>1</v>
          </cell>
        </row>
      </sheetData>
      <sheetData sheetId="806">
        <row r="2">
          <cell r="A2">
            <v>1</v>
          </cell>
        </row>
      </sheetData>
      <sheetData sheetId="807">
        <row r="2">
          <cell r="A2">
            <v>1</v>
          </cell>
        </row>
      </sheetData>
      <sheetData sheetId="808">
        <row r="2">
          <cell r="A2">
            <v>1</v>
          </cell>
        </row>
      </sheetData>
      <sheetData sheetId="809">
        <row r="2">
          <cell r="A2">
            <v>1</v>
          </cell>
        </row>
      </sheetData>
      <sheetData sheetId="810">
        <row r="2">
          <cell r="A2">
            <v>1</v>
          </cell>
        </row>
      </sheetData>
      <sheetData sheetId="811">
        <row r="2">
          <cell r="A2">
            <v>1</v>
          </cell>
        </row>
      </sheetData>
      <sheetData sheetId="812">
        <row r="2">
          <cell r="A2">
            <v>1</v>
          </cell>
        </row>
      </sheetData>
      <sheetData sheetId="813">
        <row r="2">
          <cell r="A2">
            <v>1</v>
          </cell>
        </row>
      </sheetData>
      <sheetData sheetId="814">
        <row r="2">
          <cell r="A2">
            <v>1</v>
          </cell>
        </row>
      </sheetData>
      <sheetData sheetId="815">
        <row r="2">
          <cell r="A2">
            <v>1</v>
          </cell>
        </row>
      </sheetData>
      <sheetData sheetId="816">
        <row r="2">
          <cell r="A2">
            <v>1</v>
          </cell>
        </row>
      </sheetData>
      <sheetData sheetId="817">
        <row r="2">
          <cell r="A2">
            <v>1</v>
          </cell>
        </row>
      </sheetData>
      <sheetData sheetId="818">
        <row r="2">
          <cell r="A2">
            <v>1</v>
          </cell>
        </row>
      </sheetData>
      <sheetData sheetId="819">
        <row r="2">
          <cell r="A2">
            <v>1</v>
          </cell>
        </row>
      </sheetData>
      <sheetData sheetId="820">
        <row r="2">
          <cell r="A2">
            <v>1</v>
          </cell>
        </row>
      </sheetData>
      <sheetData sheetId="821">
        <row r="2">
          <cell r="A2">
            <v>1</v>
          </cell>
        </row>
      </sheetData>
      <sheetData sheetId="822">
        <row r="2">
          <cell r="A2">
            <v>1</v>
          </cell>
        </row>
      </sheetData>
      <sheetData sheetId="823">
        <row r="2">
          <cell r="A2">
            <v>1</v>
          </cell>
        </row>
      </sheetData>
      <sheetData sheetId="824">
        <row r="2">
          <cell r="A2">
            <v>1</v>
          </cell>
        </row>
      </sheetData>
      <sheetData sheetId="825">
        <row r="2">
          <cell r="A2">
            <v>1</v>
          </cell>
        </row>
      </sheetData>
      <sheetData sheetId="826">
        <row r="2">
          <cell r="A2">
            <v>1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2">
          <cell r="A2">
            <v>1</v>
          </cell>
        </row>
      </sheetData>
      <sheetData sheetId="961">
        <row r="2">
          <cell r="A2">
            <v>1</v>
          </cell>
        </row>
      </sheetData>
      <sheetData sheetId="962">
        <row r="2">
          <cell r="A2">
            <v>1</v>
          </cell>
        </row>
      </sheetData>
      <sheetData sheetId="963">
        <row r="2">
          <cell r="A2">
            <v>1</v>
          </cell>
        </row>
      </sheetData>
      <sheetData sheetId="964">
        <row r="2">
          <cell r="A2">
            <v>1</v>
          </cell>
        </row>
      </sheetData>
      <sheetData sheetId="965">
        <row r="2">
          <cell r="A2">
            <v>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2">
          <cell r="A2">
            <v>1</v>
          </cell>
        </row>
      </sheetData>
      <sheetData sheetId="988">
        <row r="2">
          <cell r="A2">
            <v>1</v>
          </cell>
        </row>
      </sheetData>
      <sheetData sheetId="989">
        <row r="2">
          <cell r="A2">
            <v>1</v>
          </cell>
        </row>
      </sheetData>
      <sheetData sheetId="990">
        <row r="2">
          <cell r="A2">
            <v>1</v>
          </cell>
        </row>
      </sheetData>
      <sheetData sheetId="991">
        <row r="2">
          <cell r="A2">
            <v>1</v>
          </cell>
        </row>
      </sheetData>
      <sheetData sheetId="992">
        <row r="2">
          <cell r="A2">
            <v>1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>
        <row r="2">
          <cell r="A2">
            <v>1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2">
          <cell r="A2">
            <v>1</v>
          </cell>
        </row>
      </sheetData>
      <sheetData sheetId="1252">
        <row r="2">
          <cell r="A2">
            <v>1</v>
          </cell>
        </row>
      </sheetData>
      <sheetData sheetId="1253">
        <row r="2">
          <cell r="A2">
            <v>1</v>
          </cell>
        </row>
      </sheetData>
      <sheetData sheetId="1254">
        <row r="2">
          <cell r="A2">
            <v>1</v>
          </cell>
        </row>
      </sheetData>
      <sheetData sheetId="1255">
        <row r="2">
          <cell r="A2">
            <v>1</v>
          </cell>
        </row>
      </sheetData>
      <sheetData sheetId="1256">
        <row r="2">
          <cell r="A2">
            <v>1</v>
          </cell>
        </row>
      </sheetData>
      <sheetData sheetId="1257">
        <row r="2">
          <cell r="A2">
            <v>1</v>
          </cell>
        </row>
      </sheetData>
      <sheetData sheetId="1258">
        <row r="2">
          <cell r="A2">
            <v>1</v>
          </cell>
        </row>
      </sheetData>
      <sheetData sheetId="1259">
        <row r="2">
          <cell r="A2">
            <v>1</v>
          </cell>
        </row>
      </sheetData>
      <sheetData sheetId="1260">
        <row r="2">
          <cell r="A2">
            <v>1</v>
          </cell>
        </row>
      </sheetData>
      <sheetData sheetId="1261">
        <row r="2">
          <cell r="A2">
            <v>1</v>
          </cell>
        </row>
      </sheetData>
      <sheetData sheetId="1262">
        <row r="2">
          <cell r="A2">
            <v>1</v>
          </cell>
        </row>
      </sheetData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>
        <row r="2">
          <cell r="A2">
            <v>1</v>
          </cell>
        </row>
      </sheetData>
      <sheetData sheetId="1270">
        <row r="2">
          <cell r="A2">
            <v>1</v>
          </cell>
        </row>
      </sheetData>
      <sheetData sheetId="1271">
        <row r="2">
          <cell r="A2">
            <v>1</v>
          </cell>
        </row>
      </sheetData>
      <sheetData sheetId="1272">
        <row r="2">
          <cell r="A2">
            <v>1</v>
          </cell>
        </row>
      </sheetData>
      <sheetData sheetId="1273">
        <row r="2">
          <cell r="A2">
            <v>1</v>
          </cell>
        </row>
      </sheetData>
      <sheetData sheetId="1274">
        <row r="2">
          <cell r="A2">
            <v>1</v>
          </cell>
        </row>
      </sheetData>
      <sheetData sheetId="1275">
        <row r="2">
          <cell r="A2">
            <v>1</v>
          </cell>
        </row>
      </sheetData>
      <sheetData sheetId="1276">
        <row r="2">
          <cell r="A2">
            <v>1</v>
          </cell>
        </row>
      </sheetData>
      <sheetData sheetId="1277">
        <row r="2">
          <cell r="A2">
            <v>1</v>
          </cell>
        </row>
      </sheetData>
      <sheetData sheetId="1278">
        <row r="2">
          <cell r="A2">
            <v>1</v>
          </cell>
        </row>
      </sheetData>
      <sheetData sheetId="1279">
        <row r="2">
          <cell r="A2">
            <v>1</v>
          </cell>
        </row>
      </sheetData>
      <sheetData sheetId="1280">
        <row r="2">
          <cell r="A2">
            <v>1</v>
          </cell>
        </row>
      </sheetData>
      <sheetData sheetId="1281">
        <row r="2">
          <cell r="A2">
            <v>1</v>
          </cell>
        </row>
      </sheetData>
      <sheetData sheetId="1282">
        <row r="2">
          <cell r="A2">
            <v>1</v>
          </cell>
        </row>
      </sheetData>
      <sheetData sheetId="1283">
        <row r="2">
          <cell r="A2">
            <v>1</v>
          </cell>
        </row>
      </sheetData>
      <sheetData sheetId="1284">
        <row r="2">
          <cell r="A2">
            <v>1</v>
          </cell>
        </row>
      </sheetData>
      <sheetData sheetId="1285">
        <row r="2">
          <cell r="A2">
            <v>1</v>
          </cell>
        </row>
      </sheetData>
      <sheetData sheetId="1286">
        <row r="2">
          <cell r="A2">
            <v>1</v>
          </cell>
        </row>
      </sheetData>
      <sheetData sheetId="1287">
        <row r="2">
          <cell r="A2">
            <v>1</v>
          </cell>
        </row>
      </sheetData>
      <sheetData sheetId="1288">
        <row r="2">
          <cell r="A2">
            <v>1</v>
          </cell>
        </row>
      </sheetData>
      <sheetData sheetId="1289">
        <row r="2">
          <cell r="A2">
            <v>1</v>
          </cell>
        </row>
      </sheetData>
      <sheetData sheetId="1290">
        <row r="2">
          <cell r="A2">
            <v>1</v>
          </cell>
        </row>
      </sheetData>
      <sheetData sheetId="1291">
        <row r="2">
          <cell r="A2">
            <v>1</v>
          </cell>
        </row>
      </sheetData>
      <sheetData sheetId="1292">
        <row r="2">
          <cell r="A2">
            <v>1</v>
          </cell>
        </row>
      </sheetData>
      <sheetData sheetId="1293">
        <row r="2">
          <cell r="A2">
            <v>1</v>
          </cell>
        </row>
      </sheetData>
      <sheetData sheetId="1294">
        <row r="2">
          <cell r="A2">
            <v>1</v>
          </cell>
        </row>
      </sheetData>
      <sheetData sheetId="1295">
        <row r="2">
          <cell r="A2">
            <v>1</v>
          </cell>
        </row>
      </sheetData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2">
          <cell r="A2">
            <v>1</v>
          </cell>
        </row>
      </sheetData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2">
          <cell r="A2">
            <v>1</v>
          </cell>
        </row>
      </sheetData>
      <sheetData sheetId="1487">
        <row r="2">
          <cell r="A2">
            <v>1</v>
          </cell>
        </row>
      </sheetData>
      <sheetData sheetId="1488">
        <row r="2">
          <cell r="A2">
            <v>1</v>
          </cell>
        </row>
      </sheetData>
      <sheetData sheetId="1489">
        <row r="2">
          <cell r="A2">
            <v>1</v>
          </cell>
        </row>
      </sheetData>
      <sheetData sheetId="1490">
        <row r="2">
          <cell r="A2">
            <v>1</v>
          </cell>
        </row>
      </sheetData>
      <sheetData sheetId="1491">
        <row r="2">
          <cell r="A2">
            <v>1</v>
          </cell>
        </row>
      </sheetData>
      <sheetData sheetId="1492">
        <row r="2">
          <cell r="A2">
            <v>1</v>
          </cell>
        </row>
      </sheetData>
      <sheetData sheetId="1493">
        <row r="2">
          <cell r="A2">
            <v>1</v>
          </cell>
        </row>
      </sheetData>
      <sheetData sheetId="1494">
        <row r="2">
          <cell r="A2">
            <v>1</v>
          </cell>
        </row>
      </sheetData>
      <sheetData sheetId="1495">
        <row r="2">
          <cell r="A2">
            <v>1</v>
          </cell>
        </row>
      </sheetData>
      <sheetData sheetId="1496">
        <row r="2">
          <cell r="A2">
            <v>1</v>
          </cell>
        </row>
      </sheetData>
      <sheetData sheetId="1497"/>
      <sheetData sheetId="1498"/>
      <sheetData sheetId="1499">
        <row r="2">
          <cell r="A2">
            <v>1</v>
          </cell>
        </row>
      </sheetData>
      <sheetData sheetId="1500">
        <row r="2">
          <cell r="A2">
            <v>1</v>
          </cell>
        </row>
      </sheetData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2">
          <cell r="A2">
            <v>1</v>
          </cell>
        </row>
      </sheetData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 refreshError="1"/>
      <sheetData sheetId="1593" refreshError="1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>
        <row r="2">
          <cell r="A2">
            <v>1</v>
          </cell>
        </row>
      </sheetData>
      <sheetData sheetId="1660"/>
      <sheetData sheetId="1661">
        <row r="2">
          <cell r="A2">
            <v>1</v>
          </cell>
        </row>
      </sheetData>
      <sheetData sheetId="1662">
        <row r="2">
          <cell r="A2">
            <v>1</v>
          </cell>
        </row>
      </sheetData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2">
          <cell r="A2">
            <v>1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>
        <row r="2">
          <cell r="A2">
            <v>1</v>
          </cell>
        </row>
      </sheetData>
      <sheetData sheetId="2088">
        <row r="2">
          <cell r="A2">
            <v>1</v>
          </cell>
        </row>
      </sheetData>
      <sheetData sheetId="2089">
        <row r="2">
          <cell r="A2">
            <v>1</v>
          </cell>
        </row>
      </sheetData>
      <sheetData sheetId="2090">
        <row r="2">
          <cell r="A2">
            <v>1</v>
          </cell>
        </row>
      </sheetData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>
        <row r="2">
          <cell r="A2">
            <v>1</v>
          </cell>
        </row>
      </sheetData>
      <sheetData sheetId="2126">
        <row r="2">
          <cell r="A2">
            <v>1</v>
          </cell>
        </row>
      </sheetData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業務計画"/>
      <sheetName val="ENG???"/>
      <sheetName val="ﾌﾟﾛﾄ_P772分解5号機"/>
      <sheetName val="HärQ"/>
      <sheetName val="99ﾊﾞｽ"/>
      <sheetName val="TIRE読み替え表"/>
      <sheetName val="ENG___"/>
      <sheetName val="出図表"/>
      <sheetName val="入力分類"/>
      <sheetName val="NCAB"/>
      <sheetName val="Years_Input"/>
      <sheetName val="H””äŠr‚Q"/>
      <sheetName val="98UBS"/>
      <sheetName val="ocean voyage"/>
      <sheetName val="選酋表"/>
      <sheetName val="日付"/>
      <sheetName val="Sheet2"/>
      <sheetName val="10"/>
      <sheetName val="Driver Master"/>
      <sheetName val="Truck Master"/>
      <sheetName val="日産ｺﾓﾝR"/>
      <sheetName val="96期(川崎)"/>
      <sheetName val="投資ﾌｫﾛｰ"/>
      <sheetName val="The Rule"/>
      <sheetName val="ワークシート関数の使用例"/>
      <sheetName val="#REF"/>
      <sheetName val="Sheet1"/>
      <sheetName val="HOLE-UNIT TEMP"/>
      <sheetName val="ラミナー計算"/>
      <sheetName val="total change&amp;add"/>
      <sheetName val="MOTO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諸元まとめ"/>
      <sheetName val="Data validation"/>
      <sheetName val="被水"/>
      <sheetName val="量産準備実施依頼書"/>
      <sheetName val="200307検収漏れ"/>
      <sheetName val="ocean_voyage"/>
      <sheetName val="Driver_Master"/>
      <sheetName val="Truck_Master"/>
      <sheetName val="The_Rule"/>
      <sheetName val="HOLE-UNIT_TEMP"/>
      <sheetName val="total_change&amp;add"/>
      <sheetName val="初期03"/>
      <sheetName val="【資料】730改造投資"/>
      <sheetName val="MH"/>
      <sheetName val="TCﾃﾞｰﾀ"/>
      <sheetName val="_01_004"/>
      <sheetName val="表5-2 地区別CO2排出実績"/>
      <sheetName val="車会集約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工数データ"/>
      <sheetName val="00年9月"/>
      <sheetName val="05-3"/>
      <sheetName val="ESM ver2"/>
      <sheetName val="COVER"/>
      <sheetName val="生涯利益計画ｼｰﾄ"/>
      <sheetName val="製品マスター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表5-2_地区別CO2排出実績"/>
      <sheetName val="16,7"/>
      <sheetName val="F混流"/>
      <sheetName val="実車負荷係数"/>
      <sheetName val="結果"/>
      <sheetName val="(旧)LIST"/>
      <sheetName val="Defects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事務所引越見積書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ＦＴＲ連結採算"/>
      <sheetName val="97-11"/>
      <sheetName val="AA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HWS_(2)1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33NPR55 69 EC"/>
      <sheetName val="350CXZCO"/>
      <sheetName val="TABLE(LINE CODE)"/>
      <sheetName val="List"/>
      <sheetName val="計算ｼｰﾄ"/>
      <sheetName val="強制再生"/>
      <sheetName val="再生状態信号"/>
      <sheetName val="自動再生"/>
      <sheetName val="自動再生 (低水温含む)"/>
      <sheetName val="手動再生"/>
      <sheetName val="手動再生 (低水温含む)"/>
      <sheetName val="手動再生（通信エラー）"/>
      <sheetName val="手動再生(放置)"/>
      <sheetName val="1201"/>
      <sheetName val="FR"/>
      <sheetName val="HWS_(2)2"/>
      <sheetName val="ตารางเงินเดือน-พนักงาน"/>
      <sheetName val="_B007"/>
      <sheetName val="1-A､B"/>
      <sheetName val="124NKR55(ISUZU)"/>
      <sheetName val="ocean_voyage6"/>
      <sheetName val="Driver_Master6"/>
      <sheetName val="Truck_Master6"/>
      <sheetName val="The_Rule6"/>
      <sheetName val="HOLE-UNIT_TEMP6"/>
      <sheetName val="total_change&amp;add6"/>
      <sheetName val="2_3月　警報_制動タイミング5"/>
      <sheetName val="4_5月　警報　制動タイミング5"/>
      <sheetName val="Data_validation5"/>
      <sheetName val="表5-2_地区別CO2排出実績4"/>
      <sheetName val="A2_9903"/>
      <sheetName val="ESM_ver23"/>
      <sheetName val="New_DYNA1"/>
      <sheetName val="HWS_(2)3"/>
      <sheetName val="133NPR55_69_EC"/>
      <sheetName val="TABLE(LINE_CODE)"/>
      <sheetName val="自動再生_(低水温含む)"/>
      <sheetName val="手動再生_(低水温含む)"/>
      <sheetName val="ocean_voyage7"/>
      <sheetName val="Driver_Master7"/>
      <sheetName val="Truck_Master7"/>
      <sheetName val="The_Rule7"/>
      <sheetName val="HOLE-UNIT_TEMP7"/>
      <sheetName val="total_change&amp;add7"/>
      <sheetName val="2_3月　警報_制動タイミング6"/>
      <sheetName val="4_5月　警報　制動タイミング6"/>
      <sheetName val="Data_validation6"/>
      <sheetName val="表5-2_地区別CO2排出実績5"/>
      <sheetName val="A2_9904"/>
      <sheetName val="ESM_ver24"/>
      <sheetName val="New_DYNA2"/>
      <sheetName val="133NPR55_69_EC1"/>
      <sheetName val="TABLE(LINE_CODE)1"/>
      <sheetName val="Ref. (Don't Delete)"/>
      <sheetName val="Job Training   (2)"/>
      <sheetName val="CRUDE-D"/>
      <sheetName val="POSTF1"/>
      <sheetName val="S'PORE-D"/>
      <sheetName val="POSTHD1"/>
      <sheetName val="POSTLPG"/>
      <sheetName val="PO97(02)"/>
      <sheetName val="CV"/>
      <sheetName val="LARGE"/>
      <sheetName val="ISO_250"/>
      <sheetName val="2023年1月"/>
      <sheetName val="ocean_voyage8"/>
      <sheetName val="Driver_Master8"/>
      <sheetName val="Truck_Master8"/>
      <sheetName val="The_Rule8"/>
      <sheetName val="HOLE-UNIT_TEMP8"/>
      <sheetName val="total_change&amp;add8"/>
      <sheetName val="2_3月　警報_制動タイミング7"/>
      <sheetName val="4_5月　警報　制動タイミング7"/>
      <sheetName val="Data_validation7"/>
      <sheetName val="表5-2_地区別CO2排出実績6"/>
      <sheetName val="A2_9905"/>
      <sheetName val="ESM_ver25"/>
      <sheetName val="New_DYNA3"/>
      <sheetName val="HWS_(2)4"/>
      <sheetName val="133NPR55_69_EC2"/>
      <sheetName val="TABLE(LINE_CODE)2"/>
      <sheetName val="自動再生_(低水温含む)1"/>
      <sheetName val="手動再生_(低水温含む)1"/>
      <sheetName val="Ref__(Don't_Delete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>
        <row r="16">
          <cell r="F16">
            <v>1</v>
          </cell>
        </row>
      </sheetData>
      <sheetData sheetId="107">
        <row r="16">
          <cell r="F16">
            <v>1</v>
          </cell>
        </row>
      </sheetData>
      <sheetData sheetId="108">
        <row r="16">
          <cell r="F16">
            <v>1</v>
          </cell>
        </row>
      </sheetData>
      <sheetData sheetId="109">
        <row r="16">
          <cell r="F16">
            <v>1</v>
          </cell>
        </row>
      </sheetData>
      <sheetData sheetId="110">
        <row r="16">
          <cell r="F16">
            <v>1</v>
          </cell>
        </row>
      </sheetData>
      <sheetData sheetId="111">
        <row r="16">
          <cell r="F16">
            <v>1</v>
          </cell>
        </row>
      </sheetData>
      <sheetData sheetId="112">
        <row r="16">
          <cell r="F16">
            <v>1</v>
          </cell>
        </row>
      </sheetData>
      <sheetData sheetId="113">
        <row r="16">
          <cell r="F16">
            <v>1</v>
          </cell>
        </row>
      </sheetData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>
        <row r="16">
          <cell r="F16">
            <v>1</v>
          </cell>
        </row>
      </sheetData>
      <sheetData sheetId="157"/>
      <sheetData sheetId="158">
        <row r="16">
          <cell r="F16">
            <v>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ﾄﾞﾛｯﾌﾟﾀﾞｳﾝLIST"/>
      <sheetName val="01重点管理ｴﾘｱ"/>
      <sheetName val="Europe PU-1"/>
      <sheetName val="国内"/>
      <sheetName val="Sheet1"/>
      <sheetName val="48810真"/>
      <sheetName val="date"/>
      <sheetName val="データ"/>
      <sheetName val="ﾘｽﾄ"/>
      <sheetName val="リスト"/>
      <sheetName val="LOT_ACCP"/>
      <sheetName val="選択"/>
      <sheetName val="10mm×10m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仕切 (1)"/>
      <sheetName val="ｻﾏﾘｰ"/>
      <sheetName val="HDL(国内 STD)"/>
      <sheetName val="HDL(北米 STD)"/>
      <sheetName val="HDL(国内 OPT) "/>
      <sheetName val="HDL(北米 OPT)"/>
      <sheetName val="L53A HDL見積明細"/>
      <sheetName val="RCL固定(国内)"/>
      <sheetName val="RCL固定(北米)"/>
      <sheetName val="BL可動(国内・北米)"/>
      <sheetName val="L53A RCL（固・可）見積明細"/>
      <sheetName val="M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Europe PU-1"/>
      <sheetName val="X03HPW"/>
      <sheetName val="square1"/>
      <sheetName val="48810真"/>
      <sheetName val="外注納不"/>
      <sheetName val="①評価項目_メーカー"/>
      <sheetName val="Weight Break Charges"/>
      <sheetName val="Titel"/>
      <sheetName val="Hyp"/>
      <sheetName val="ﾄﾞﾛｯﾌﾟﾀﾞｳﾝLIST"/>
      <sheetName val="日産呼称DATA"/>
      <sheetName val="対象部番一覧"/>
      <sheetName val="Data"/>
      <sheetName val="Weight_Break_Charges"/>
      <sheetName val="Europe_PU-1"/>
      <sheetName val="01重点管理ｴﾘｱ"/>
      <sheetName val="ocean voyage"/>
      <sheetName val="BOM1"/>
      <sheetName val="list"/>
      <sheetName val="Weight_Break_Charges1"/>
      <sheetName val="Europe_PU-11"/>
      <sheetName val="表紙 O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~集計"/>
      <sheetName val="結果"/>
      <sheetName val="#REF"/>
      <sheetName val="MOTO"/>
      <sheetName val="ﾄﾞﾛｯﾌﾟﾀﾞｳﾝLIST"/>
      <sheetName val="不良ﾃﾞｰﾀ資料"/>
      <sheetName val="Grille Q3P Organe"/>
      <sheetName val="Europe PU-1"/>
      <sheetName val="purchase"/>
      <sheetName val="raw material"/>
      <sheetName val="process"/>
      <sheetName val="Pack"/>
      <sheetName val="depreciation"/>
      <sheetName val="日産呼称DATA"/>
      <sheetName val="ENG油洩れ"/>
      <sheetName val="Supp.List"/>
      <sheetName val="Sheet1"/>
    </sheetNames>
    <definedNames>
      <definedName name="[Module1 (手段別)].ボタン13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Module2"/>
      <sheetName val="Cal"/>
      <sheetName val="Sheet1"/>
      <sheetName val="List"/>
      <sheetName val="Auditor matrix"/>
      <sheetName val="Schedule"/>
      <sheetName val="IQA#4"/>
      <sheetName val="set date"/>
      <sheetName val="F-Z0-XX-0013"/>
      <sheetName val="Follow Up"/>
      <sheetName val="F-Z0-XX-0010"/>
      <sheetName val="CAR"/>
      <sheetName val="All-CAR"/>
      <sheetName val="summary"/>
      <sheetName val="note"/>
      <sheetName val="graph"/>
      <sheetName val="条件表"/>
      <sheetName val="0409"/>
      <sheetName val="XGPROD"/>
      <sheetName val="CIPA"/>
      <sheetName val="Auditor_matrix"/>
      <sheetName val="set_date"/>
      <sheetName val="Follow_Up"/>
      <sheetName val="性能.機能向上 (3)"/>
      <sheetName val="IQA4th"/>
      <sheetName val="EQﾏ､HQﾏ-GA18DE"/>
      <sheetName val=""/>
      <sheetName val="S-A1-XX-1001"/>
      <sheetName val="APR99"/>
      <sheetName val="AUG99"/>
      <sheetName val="DEC99"/>
      <sheetName val="FEB99"/>
      <sheetName val="JAN99"/>
      <sheetName val="JUL99"/>
      <sheetName val="JUN99"/>
      <sheetName val="MAR99"/>
      <sheetName val="MAY99"/>
      <sheetName val="1999 Base-std"/>
      <sheetName val="NOV99"/>
      <sheetName val="OCT99"/>
      <sheetName val="SEP99"/>
      <sheetName val="#REF"/>
      <sheetName val="Trial Balance"/>
      <sheetName val="ESM ver2"/>
      <sheetName val="1999_Base-std"/>
      <sheetName val="Trial_Balance"/>
      <sheetName val="APL (2)"/>
      <sheetName val="Auditor_matrix1"/>
      <sheetName val="set_date1"/>
      <sheetName val="Follow_Up1"/>
      <sheetName val="1999_Base-std1"/>
      <sheetName val="Trial_Balance1"/>
      <sheetName val="ESM_ver2"/>
      <sheetName val="APL_(2)"/>
      <sheetName val="Table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Ex-Rates"/>
      <sheetName val="効率UP目論見"/>
      <sheetName val="05年"/>
      <sheetName val="REQUEST_TABLE"/>
      <sheetName val="APR"/>
      <sheetName val="為替"/>
      <sheetName val="Premise"/>
      <sheetName val="08 BSS"/>
      <sheetName val="10 PLS"/>
      <sheetName val="01 BSJ"/>
      <sheetName val="15-Linearity"/>
      <sheetName val="ValueList"/>
      <sheetName val="物件明細表"/>
      <sheetName val="Settings"/>
      <sheetName val="Language"/>
      <sheetName val="Scales"/>
      <sheetName val="Auditor_matrix2"/>
      <sheetName val="set_date2"/>
      <sheetName val="Follow_Up2"/>
      <sheetName val="1999_Base-std2"/>
      <sheetName val="Trial_Balance2"/>
      <sheetName val="ESM_ver21"/>
      <sheetName val="APL_(2)1"/>
      <sheetName val="性能_機能向上_(3)"/>
      <sheetName val="Database"/>
      <sheetName val="Auditor_matrix3"/>
      <sheetName val="set_date3"/>
      <sheetName val="Follow_Up3"/>
      <sheetName val="1999_Base-std3"/>
      <sheetName val="Trial_Balance3"/>
      <sheetName val="ESM_ver22"/>
      <sheetName val="APL_(2)2"/>
      <sheetName val="性能_機能向上_(3)1"/>
      <sheetName val="[IQA4th.xls]ings_arsa_c_My_Do_2"/>
      <sheetName val="[IQA4th.xls]ings\arsa.c\My Docu"/>
      <sheetName val="[IQA4th.xls]ings_arsa_c_My_Do_3"/>
      <sheetName val="????"/>
      <sheetName val="市販品"/>
      <sheetName val="特注品"/>
      <sheetName val="[IQA4th.xls][IQA4th.xls]ings\ar"/>
      <sheetName val="[IQA4th.xls][IQA4th.xls][IQA4th"/>
      <sheetName val="01重点管理ｴﾘｱ"/>
      <sheetName val="[IQA4th.xls]ings_arsa_c_My_Do_4"/>
      <sheetName val="[IQA4th.xls]ings_arsa_c_My_Do_5"/>
      <sheetName val="ADSL"/>
      <sheetName val="Finance Exc"/>
      <sheetName val="2. Parameter"/>
      <sheetName val="KVM Switching"/>
      <sheetName val="RF Scanner,Bat,Charger"/>
      <sheetName val="6. SCi"/>
      <sheetName val="WirelessSwitch"/>
      <sheetName val="日程"/>
      <sheetName val="Auditor_matrix5"/>
      <sheetName val="set_date5"/>
      <sheetName val="Follow_Up5"/>
      <sheetName val="1999_Base-std5"/>
      <sheetName val="Trial_Balance5"/>
      <sheetName val="ESM_ver24"/>
      <sheetName val="APL_(2)4"/>
      <sheetName val="性能_機能向上_(3)3"/>
      <sheetName val="Auditor_matrix4"/>
      <sheetName val="set_date4"/>
      <sheetName val="Follow_Up4"/>
      <sheetName val="1999_Base-std4"/>
      <sheetName val="Trial_Balance4"/>
      <sheetName val="ESM_ver23"/>
      <sheetName val="APL_(2)3"/>
      <sheetName val="性能_機能向上_(3)2"/>
      <sheetName val="Auditor_matrix9"/>
      <sheetName val="set_date9"/>
      <sheetName val="Follow_Up9"/>
      <sheetName val="1999_Base-std9"/>
      <sheetName val="Trial_Balance9"/>
      <sheetName val="ESM_ver28"/>
      <sheetName val="APL_(2)8"/>
      <sheetName val="性能_機能向上_(3)7"/>
      <sheetName val="Auditor_matrix6"/>
      <sheetName val="set_date6"/>
      <sheetName val="Follow_Up6"/>
      <sheetName val="1999_Base-std6"/>
      <sheetName val="Trial_Balance6"/>
      <sheetName val="ESM_ver25"/>
      <sheetName val="APL_(2)5"/>
      <sheetName val="性能_機能向上_(3)4"/>
      <sheetName val="Auditor_matrix7"/>
      <sheetName val="set_date7"/>
      <sheetName val="Follow_Up7"/>
      <sheetName val="1999_Base-std7"/>
      <sheetName val="Trial_Balance7"/>
      <sheetName val="ESM_ver26"/>
      <sheetName val="APL_(2)6"/>
      <sheetName val="性能_機能向上_(3)5"/>
      <sheetName val="Auditor_matrix8"/>
      <sheetName val="set_date8"/>
      <sheetName val="Follow_Up8"/>
      <sheetName val="1999_Base-std8"/>
      <sheetName val="Trial_Balance8"/>
      <sheetName val="ESM_ver27"/>
      <sheetName val="APL_(2)7"/>
      <sheetName val="性能_機能向上_(3)6"/>
      <sheetName val="Auditor_matrix14"/>
      <sheetName val="set_date14"/>
      <sheetName val="Follow_Up14"/>
      <sheetName val="1999_Base-std14"/>
      <sheetName val="Trial_Balance14"/>
      <sheetName val="ESM_ver213"/>
      <sheetName val="APL_(2)13"/>
      <sheetName val="性能_機能向上_(3)12"/>
      <sheetName val="Auditor_matrix10"/>
      <sheetName val="set_date10"/>
      <sheetName val="Follow_Up10"/>
      <sheetName val="1999_Base-std10"/>
      <sheetName val="Trial_Balance10"/>
      <sheetName val="ESM_ver29"/>
      <sheetName val="APL_(2)9"/>
      <sheetName val="性能_機能向上_(3)8"/>
      <sheetName val="Auditor_matrix11"/>
      <sheetName val="set_date11"/>
      <sheetName val="Follow_Up11"/>
      <sheetName val="1999_Base-std11"/>
      <sheetName val="Trial_Balance11"/>
      <sheetName val="ESM_ver210"/>
      <sheetName val="APL_(2)10"/>
      <sheetName val="性能_機能向上_(3)9"/>
      <sheetName val="Auditor_matrix12"/>
      <sheetName val="set_date12"/>
      <sheetName val="Follow_Up12"/>
      <sheetName val="1999_Base-std12"/>
      <sheetName val="Trial_Balance12"/>
      <sheetName val="ESM_ver211"/>
      <sheetName val="APL_(2)11"/>
      <sheetName val="性能_機能向上_(3)10"/>
      <sheetName val="Auditor_matrix13"/>
      <sheetName val="set_date13"/>
      <sheetName val="Follow_Up13"/>
      <sheetName val="1999_Base-std13"/>
      <sheetName val="Trial_Balance13"/>
      <sheetName val="ESM_ver212"/>
      <sheetName val="APL_(2)12"/>
      <sheetName val="性能_機能向上_(3)11"/>
      <sheetName val="Auditor_matrix15"/>
      <sheetName val="set_date15"/>
      <sheetName val="Follow_Up15"/>
      <sheetName val="1999_Base-std15"/>
      <sheetName val="Trial_Balance15"/>
      <sheetName val="ESM_ver214"/>
      <sheetName val="APL_(2)14"/>
      <sheetName val="性能_機能向上_(3)13"/>
      <sheetName val="Auditor_matrix16"/>
      <sheetName val="set_date16"/>
      <sheetName val="Follow_Up16"/>
      <sheetName val="1999_Base-std16"/>
      <sheetName val="Trial_Balance16"/>
      <sheetName val="ESM_ver215"/>
      <sheetName val="APL_(2)15"/>
      <sheetName val="性能_機能向上_(3)14"/>
      <sheetName val="Auditor_matrix18"/>
      <sheetName val="set_date18"/>
      <sheetName val="Follow_Up18"/>
      <sheetName val="1999_Base-std18"/>
      <sheetName val="Trial_Balance18"/>
      <sheetName val="ESM_ver217"/>
      <sheetName val="APL_(2)17"/>
      <sheetName val="性能_機能向上_(3)16"/>
      <sheetName val="Auditor_matrix17"/>
      <sheetName val="set_date17"/>
      <sheetName val="Follow_Up17"/>
      <sheetName val="1999_Base-std17"/>
      <sheetName val="Trial_Balance17"/>
      <sheetName val="ESM_ver216"/>
      <sheetName val="APL_(2)16"/>
      <sheetName val="性能_機能向上_(3)15"/>
      <sheetName val="Auditor_matrix19"/>
      <sheetName val="set_date19"/>
      <sheetName val="Follow_Up19"/>
      <sheetName val="1999_Base-std19"/>
      <sheetName val="Trial_Balance19"/>
      <sheetName val="ESM_ver218"/>
      <sheetName val="APL_(2)18"/>
      <sheetName val="性能_機能向上_(3)17"/>
      <sheetName val="Auditor_matrix20"/>
      <sheetName val="set_date20"/>
      <sheetName val="Follow_Up20"/>
      <sheetName val="1999_Base-std20"/>
      <sheetName val="Trial_Balance20"/>
      <sheetName val="ESM_ver219"/>
      <sheetName val="APL_(2)19"/>
      <sheetName val="性能_機能向上_(3)18"/>
      <sheetName val="Auditor_matrix21"/>
      <sheetName val="set_date21"/>
      <sheetName val="Follow_Up21"/>
      <sheetName val="1999_Base-std21"/>
      <sheetName val="Trial_Balance21"/>
      <sheetName val="ESM_ver220"/>
      <sheetName val="APL_(2)20"/>
      <sheetName val="性能_機能向上_(3)19"/>
      <sheetName val="Auditor_matrix22"/>
      <sheetName val="set_date22"/>
      <sheetName val="Follow_Up22"/>
      <sheetName val="1999_Base-std22"/>
      <sheetName val="Trial_Balance22"/>
      <sheetName val="ESM_ver221"/>
      <sheetName val="APL_(2)21"/>
      <sheetName val="性能_機能向上_(3)20"/>
      <sheetName val="QC APPROVE SHEET"/>
      <sheetName val="全体ﾃﾞｰﾀ"/>
      <sheetName val="[IQA4th.xls]ings_arsa_c_My_Do_6"/>
      <sheetName val="[IQA4th.xls]ings_arsa_c_My_Do_7"/>
      <sheetName val="[IQA4th.xls]ings_arsa_c_My_D_15"/>
      <sheetName val="[IQA4th.xls]ings_arsa_c_My_D_16"/>
      <sheetName val="ings_arsa.c_My Documents"/>
      <sheetName val="BS_TSPKK-G"/>
      <sheetName val="[IQA4th.xls][IQA4th.xls]ings__2"/>
      <sheetName val="[IQA4th.xls][IQA4th.xls]_IQA4_2"/>
      <sheetName val="[IQA4th.xls][IQA4th.xls]ings__3"/>
      <sheetName val="[IQA4th.xls][IQA4th.xls]_IQA4_3"/>
      <sheetName val="Auditor_matrix23"/>
      <sheetName val="set_date23"/>
      <sheetName val="Follow_Up23"/>
      <sheetName val="1999_Base-std23"/>
      <sheetName val="Trial_Balance23"/>
      <sheetName val="ESM_ver222"/>
      <sheetName val="APL_(2)22"/>
      <sheetName val="性能_機能向上_(3)21"/>
      <sheetName val="Summary G.C(Jan'18-Apr'18)"/>
      <sheetName val="Macro1"/>
      <sheetName val="45"/>
      <sheetName val="_IQA4th.xls__IQA4th.xls__IQA4th"/>
      <sheetName val="_IQA4th.xls_ings_arsa.c_My Docu"/>
      <sheetName val="____"/>
      <sheetName val="ings_arsa.c_My Documents_=D_=D_"/>
      <sheetName val="_IQA4th.xls__IQA4th.xls_ings_ar"/>
      <sheetName val="[IQA4th.xls]ings_arsa_c_My_D_17"/>
      <sheetName val="ings\arsa.c\My Docu"/>
      <sheetName val="ings\ar"/>
      <sheetName val="[IQA4th"/>
      <sheetName val="[IQA4th.xls]ings\ar"/>
      <sheetName val="[IQA4th.xls][IQA4th"/>
      <sheetName val="Assumptions"/>
      <sheetName val="MOTO"/>
      <sheetName val="A集計"/>
      <sheetName val="ﾀｲﾔCP"/>
      <sheetName val="等価CP"/>
      <sheetName val="[IQA4th.xls]ings_arsa_c_My_D_11"/>
      <sheetName val="[IQA4th.xls]ings_arsa_c_My_Do_8"/>
      <sheetName val="[IQA4th.xls]ings_arsa_c_My_Do_9"/>
      <sheetName val="[IQA4th.xls]ings_arsa_c_My_D_10"/>
      <sheetName val="[IQA4th.xls]ings_arsa_c_My_D_12"/>
      <sheetName val="OPTEU2WD"/>
      <sheetName val="OPTEU4WD"/>
      <sheetName val="OPTGEXP2WD"/>
      <sheetName val="OPTGEXP4WD"/>
      <sheetName val="STD model"/>
      <sheetName val="[IQA4th.xls]ings_arsa_c_My_D_13"/>
      <sheetName val="[IQA4th.xls]ings_arsa_c_My_D_14"/>
      <sheetName val="[IQA4th.xls]ings_arsa_c_My__310"/>
      <sheetName val="[IQA4th.xls]ings_arsa_c_My__311"/>
      <sheetName val="[IQA4th.xls]ings_arsa_c_My__312"/>
      <sheetName val="[IQA4th.xls]ings_arsa_c_My_D_18"/>
      <sheetName val="[IQA4th.xls]ings_arsa_c_My_D_19"/>
      <sheetName val="[IQA4th.xls]ings_arsa_c_My_D_20"/>
      <sheetName val="[IQA4th.xls]ings_arsa_c_My_D_21"/>
      <sheetName val="[IQA4th.xls]ings_arsa_c_My_D_22"/>
      <sheetName val="[IQA4th.xls]ings_arsa_c_My_D_23"/>
      <sheetName val="総合B"/>
      <sheetName val="RR Report_Range(QF-ENG-17-2)"/>
      <sheetName val="[IQA4th.xls]ings_arsa_c_My_D_24"/>
      <sheetName val="[IQA4th.xls]ings_arsa_c_My_D_25"/>
      <sheetName val="[IQA4th.xls]ings_arsa_c_My_D_26"/>
      <sheetName val="[IQA4th.xls]ings_arsa_c_My_D_27"/>
      <sheetName val="[IQA4th.xls]ings_arsa_c_My_D_28"/>
      <sheetName val="[IQA4th.xls]ings_arsa_c_My_D_29"/>
      <sheetName val="[IQA4th.xls]ings_arsa_c_My_D_30"/>
      <sheetName val="[IQA4th.xls]ings_arsa_c_My_D_31"/>
      <sheetName val="[IQA4th.xls]ings_arsa_c_My_D_32"/>
      <sheetName val="[IQA4th.xls]ings_arsa_c_My_D_33"/>
      <sheetName val="[IQA4th.xls]ings_arsa_c_My_D_38"/>
      <sheetName val="[IQA4th.xls]ings_arsa_c_My_D_39"/>
      <sheetName val="[IQA4th.xls]ings_arsa_c_My_D_36"/>
      <sheetName val="[IQA4th.xls]ings_arsa_c_My_D_37"/>
      <sheetName val="[IQA4th.xls]ings_arsa_c_My_D_34"/>
      <sheetName val="[IQA4th.xls]ings_arsa_c_My_D_35"/>
      <sheetName val="[IQA4th.xls]ings_arsa_c_My_D_44"/>
      <sheetName val="[IQA4th.xls]ings_arsa_c_My_D_45"/>
      <sheetName val="[IQA4th.xls]ings_arsa_c_My_D_40"/>
      <sheetName val="[IQA4th.xls]ings_arsa_c_My_D_41"/>
      <sheetName val="[IQA4th.xls]ings_arsa_c_My_D_42"/>
      <sheetName val="[IQA4th.xls]ings_arsa_c_My_D_43"/>
      <sheetName val="[IQA4th.xls]ings_arsa_c_My_D_46"/>
      <sheetName val="[IQA4th.xls]ings_arsa_c_My_D_47"/>
      <sheetName val="[IQA4th.xls]ings_arsa_c_My_D_48"/>
      <sheetName val="[IQA4th.xls]ings_arsa_c_My_D_49"/>
      <sheetName val="[IQA4th.xls]ings_arsa_c_My_D_52"/>
      <sheetName val="[IQA4th.xls]ings_arsa_c_My_D_53"/>
      <sheetName val="[IQA4th.xls]ings_arsa_c_My_D_50"/>
      <sheetName val="[IQA4th.xls]ings_arsa_c_My_D_51"/>
      <sheetName val="[IQA4th.xls]ings_arsa_c_My_D_64"/>
      <sheetName val="[IQA4th.xls]ings_arsa_c_My_D_65"/>
      <sheetName val="[IQA4th.xls]ings_arsa_c_My_D_54"/>
      <sheetName val="[IQA4th.xls]ings_arsa_c_My_D_55"/>
      <sheetName val="[IQA4th.xls]ings_arsa_c_My_D_56"/>
      <sheetName val="[IQA4th.xls]ings_arsa_c_My_D_57"/>
      <sheetName val="[IQA4th.xls]ings_arsa_c_My_D_61"/>
      <sheetName val="[IQA4th.xls]ings_arsa_c_My_D_62"/>
      <sheetName val="[IQA4th.xls]ings_arsa_c_My_D_63"/>
      <sheetName val="[IQA4th.xls]ings_arsa_c_My_D_58"/>
      <sheetName val="[IQA4th.xls]ings_arsa_c_My_D_59"/>
      <sheetName val="[IQA4th.xls]ings_arsa_c_My_D_60"/>
      <sheetName val="[IQA4th.xls]ings_arsa_c_My_D_66"/>
      <sheetName val="[IQA4th.xls]ings_arsa_c_My_D_67"/>
      <sheetName val="[IQA4th.xls]ings_arsa_c_My_D_68"/>
      <sheetName val="[IQA4th.xls]ings_arsa_c_My_D_69"/>
      <sheetName val="[IQA4th.xls]ings_arsa_c_My_D_70"/>
      <sheetName val="[IQA4th.xls]ings_arsa_c_My_D_71"/>
      <sheetName val="[IQA4th.xls]ings_arsa_c_My_D_72"/>
      <sheetName val="[IQA4th.xls]ings_arsa_c_My_D_73"/>
      <sheetName val="[IQA4th.xls]ings_arsa_c_My_D_74"/>
      <sheetName val="[IQA4th.xls]ings_arsa_c_My_D_75"/>
      <sheetName val="[IQA4th.xls]ings_arsa_c_My_D_78"/>
      <sheetName val="[IQA4th.xls]ings_arsa_c_My_D_79"/>
      <sheetName val="[IQA4th.xls]ings_arsa_c_My_D_76"/>
      <sheetName val="[IQA4th.xls]ings_arsa_c_My_D_77"/>
      <sheetName val="[IQA4th.xls]ings_arsa_c_My_D_80"/>
      <sheetName val="[IQA4th.xls]ings_arsa_c_My_D_81"/>
      <sheetName val="[IQA4th.xls]ings_arsa_c_My_D_82"/>
      <sheetName val="[IQA4th.xls]ings_arsa_c_My_D_83"/>
      <sheetName val="[IQA4th.xls]ings_arsa_c_My_D_84"/>
      <sheetName val="[IQA4th.xls]ings_arsa_c_My_D_85"/>
      <sheetName val="[IQA4th.xls]ings_arsa_c_My_D_86"/>
      <sheetName val="[IQA4th.xls]ings_arsa_c_My_D_87"/>
      <sheetName val="[IQA4th.xls]ings_arsa_c_My_D_88"/>
      <sheetName val="[IQA4th.xls]ings_arsa_c_My_D_89"/>
      <sheetName val="[IQA4th.xls]ings_arsa_c_My_D_90"/>
      <sheetName val="[IQA4th.xls]ings_arsa_c_My_D_91"/>
      <sheetName val="[IQA4th.xls]ings_arsa_c_My_D_92"/>
      <sheetName val="[IQA4th.xls]ings_arsa_c_My_D_94"/>
      <sheetName val="[IQA4th.xls]ings_arsa_c_My_D_95"/>
      <sheetName val="[IQA4th.xls]ings_arsa_c_My_D_96"/>
      <sheetName val="[IQA4th.xls]ings_arsa_c_My_D_93"/>
      <sheetName val="[IQA4th.xls]ings_arsa_c_My_D_99"/>
      <sheetName val="[IQA4th.xls]ings_arsa_c_My__100"/>
      <sheetName val="[IQA4th.xls]ings_arsa_c_My__101"/>
      <sheetName val="[IQA4th.xls]ings_arsa_c_My_D_97"/>
      <sheetName val="[IQA4th.xls]ings_arsa_c_My_D_98"/>
      <sheetName val="[IQA4th.xls]ings_arsa_c_My__102"/>
      <sheetName val="[IQA4th.xls]ings_arsa_c_My__107"/>
      <sheetName val="[IQA4th.xls]ings_arsa_c_My__108"/>
      <sheetName val="[IQA4th.xls]ings_arsa_c_My__105"/>
      <sheetName val="[IQA4th.xls]ings_arsa_c_My__106"/>
      <sheetName val="[IQA4th.xls]ings_arsa_c_My__103"/>
      <sheetName val="[IQA4th.xls]ings_arsa_c_My__104"/>
      <sheetName val="[IQA4th.xls]ings_arsa_c_My__109"/>
      <sheetName val="[IQA4th.xls]ings_arsa_c_My__110"/>
      <sheetName val="Auditor_matrix24"/>
      <sheetName val="set_date24"/>
      <sheetName val="Follow_Up24"/>
      <sheetName val="性能_機能向上_(3)22"/>
      <sheetName val="1999_Base-std24"/>
      <sheetName val="Trial_Balance24"/>
      <sheetName val="ESM_ver223"/>
      <sheetName val="APL_(2)23"/>
      <sheetName val="08_BSS"/>
      <sheetName val="10_PLS"/>
      <sheetName val="01_BSJ"/>
      <sheetName val="ings\arsa_c\My_Documents=D:=D:"/>
      <sheetName val="[IQA4th_xls]ings\arsa_c\My_Docu"/>
      <sheetName val="ings\arsa_c\My_Documents?=D:=D:"/>
      <sheetName val="[IQA4th_xls][IQA4th_xls]ings\ar"/>
      <sheetName val="[IQA4th_xls][IQA4th_xls][IQA4th"/>
      <sheetName val="QC_APPROVE_SHEET"/>
      <sheetName val="Summary_G_C(Jan'18-Apr'18)"/>
      <sheetName val="_IQA4th_xls__IQA4th_xls__IQA4th"/>
      <sheetName val="ings_arsa_c_My_Documents"/>
      <sheetName val="_IQA4th_xls_ings_arsa_c_My_Docu"/>
      <sheetName val="ings_arsa_c_My_Documents_=D_=D_"/>
      <sheetName val="_IQA4th_xls__IQA4th_xls_ings_ar"/>
      <sheetName val="Finance_Exc"/>
      <sheetName val="2__Parameter"/>
      <sheetName val="KVM_Switching"/>
      <sheetName val="RF_Scanner,Bat,Charger"/>
      <sheetName val="6__SCi"/>
      <sheetName val="ings\arsa_c\My_Documents"/>
      <sheetName val="ings\arsa_c\My_Docu"/>
      <sheetName val="[IQA4th_xls]ings\ar"/>
      <sheetName val="[IQA4th_xls][IQA4th"/>
      <sheetName val="[IQA4th.xls]ings_arsa_c_My__117"/>
      <sheetName val="[IQA4th.xls]ings_arsa_c_My__118"/>
      <sheetName val="[IQA4th.xls]ings_arsa_c_My__111"/>
      <sheetName val="[IQA4th.xls]ings_arsa_c_My__112"/>
      <sheetName val="[IQA4th.xls]ings_arsa_c_My__113"/>
      <sheetName val="[IQA4th.xls]ings_arsa_c_My__114"/>
      <sheetName val="[IQA4th.xls]ings_arsa_c_My__115"/>
      <sheetName val="[IQA4th.xls]ings_arsa_c_My__116"/>
      <sheetName val="[IQA4th.xls]ings_arsa_c_My__121"/>
      <sheetName val="[IQA4th.xls]ings_arsa_c_My__122"/>
      <sheetName val="[IQA4th.xls]ings_arsa_c_My__119"/>
      <sheetName val="[IQA4th.xls]ings_arsa_c_My__120"/>
      <sheetName val="[IQA4th.xls]ings_arsa_c_My__123"/>
      <sheetName val="[IQA4th.xls]ings_arsa_c_My__124"/>
      <sheetName val="[IQA4th.xls]ings_arsa_c_My__125"/>
      <sheetName val="[IQA4th.xls]ings_arsa_c_My__126"/>
      <sheetName val="[IQA4th.xls]ings_arsa_c_My__127"/>
      <sheetName val="[IQA4th.xls]ings_arsa_c_My__128"/>
      <sheetName val="[IQA4th.xls]ings_arsa_c_My__129"/>
      <sheetName val="[IQA4th.xls]ings_arsa_c_My__130"/>
      <sheetName val="[IQA4th.xls]ings_arsa_c_My__131"/>
      <sheetName val="[IQA4th.xls]ings_arsa_c_My__149"/>
      <sheetName val="[IQA4th.xls]ings_arsa_c_My__150"/>
      <sheetName val="[IQA4th.xls]ings_arsa_c_My__151"/>
      <sheetName val="[IQA4th.xls]ings_arsa_c_My__135"/>
      <sheetName val="[IQA4th.xls]ings_arsa_c_My__136"/>
      <sheetName val="[IQA4th.xls]ings_arsa_c_My__137"/>
      <sheetName val="[IQA4th.xls]ings_arsa_c_My__132"/>
      <sheetName val="[IQA4th.xls]ings_arsa_c_My__133"/>
      <sheetName val="[IQA4th.xls]ings_arsa_c_My__134"/>
      <sheetName val="[IQA4th.xls]ings_arsa_c_My__147"/>
      <sheetName val="[IQA4th.xls]ings_arsa_c_My__148"/>
      <sheetName val="[IQA4th.xls]ings_arsa_c_My__144"/>
      <sheetName val="[IQA4th.xls]ings_arsa_c_My__145"/>
      <sheetName val="[IQA4th.xls]ings_arsa_c_My__146"/>
      <sheetName val="[IQA4th.xls]ings_arsa_c_My__138"/>
      <sheetName val="[IQA4th.xls]ings_arsa_c_My__139"/>
      <sheetName val="[IQA4th.xls]ings_arsa_c_My__140"/>
      <sheetName val="[IQA4th.xls]ings_arsa_c_My__141"/>
      <sheetName val="[IQA4th.xls]ings_arsa_c_My__142"/>
      <sheetName val="[IQA4th.xls]ings_arsa_c_My__143"/>
      <sheetName val="[IQA4th.xls]ings_arsa_c_My__152"/>
      <sheetName val="[IQA4th.xls]ings_arsa_c_My__153"/>
      <sheetName val="[IQA4th.xls]ings_arsa_c_My__154"/>
      <sheetName val="[IQA4th.xls]ings_arsa_c_My__158"/>
      <sheetName val="[IQA4th.xls]ings_arsa_c_My__159"/>
      <sheetName val="[IQA4th.xls]ings_arsa_c_My__160"/>
      <sheetName val="[IQA4th.xls]ings_arsa_c_My__155"/>
      <sheetName val="[IQA4th.xls]ings_arsa_c_My__156"/>
      <sheetName val="[IQA4th.xls]ings_arsa_c_My__157"/>
      <sheetName val="[IQA4th.xls]ings_arsa_c_My__161"/>
      <sheetName val="[IQA4th.xls]ings_arsa_c_My__162"/>
      <sheetName val="[IQA4th.xls]ings_arsa_c_My__163"/>
      <sheetName val="[IQA4th.xls]ings_arsa_c_My__166"/>
      <sheetName val="[IQA4th.xls]ings_arsa_c_My__167"/>
      <sheetName val="[IQA4th.xls]ings_arsa_c_My__164"/>
      <sheetName val="[IQA4th.xls]ings_arsa_c_My__165"/>
      <sheetName val="[IQA4th.xls]ings_arsa_c_My__169"/>
      <sheetName val="[IQA4th.xls]ings_arsa_c_My__170"/>
      <sheetName val="[IQA4th.xls]ings_arsa_c_My__171"/>
      <sheetName val="[IQA4th.xls]ings_arsa_c_My__168"/>
      <sheetName val="[IQA4th.xls]ings_arsa_c_My__175"/>
      <sheetName val="[IQA4th.xls]ings_arsa_c_My__176"/>
      <sheetName val="[IQA4th.xls]ings_arsa_c_My__172"/>
      <sheetName val="[IQA4th.xls]ings_arsa_c_My__173"/>
      <sheetName val="[IQA4th.xls]ings_arsa_c_My__174"/>
      <sheetName val="[IQA4th.xls]ings_arsa_c_My__177"/>
      <sheetName val="[IQA4th.xls]ings_arsa_c_My__178"/>
      <sheetName val="[IQA4th.xls]ings_arsa_c_My__179"/>
      <sheetName val="[IQA4th.xls]ings_arsa_c_My__180"/>
      <sheetName val="[IQA4th.xls]ings_arsa_c_My__181"/>
      <sheetName val="[IQA4th.xls]ings_arsa_c_My__182"/>
      <sheetName val="[IQA4th.xls]ings_arsa_c_My__189"/>
      <sheetName val="[IQA4th.xls]ings_arsa_c_My__190"/>
      <sheetName val="[IQA4th.xls]ings_arsa_c_My__187"/>
      <sheetName val="[IQA4th.xls]ings_arsa_c_My__188"/>
      <sheetName val="[IQA4th.xls]ings_arsa_c_My__185"/>
      <sheetName val="[IQA4th.xls]ings_arsa_c_My__186"/>
      <sheetName val="[IQA4th.xls]ings_arsa_c_My__183"/>
      <sheetName val="[IQA4th.xls]ings_arsa_c_My__184"/>
      <sheetName val="[IQA4th.xls]ings_arsa_c_My__195"/>
      <sheetName val="[IQA4th.xls]ings_arsa_c_My__196"/>
      <sheetName val="[IQA4th.xls]ings_arsa_c_My__193"/>
      <sheetName val="[IQA4th.xls]ings_arsa_c_My__194"/>
      <sheetName val="[IQA4th.xls]ings_arsa_c_My__191"/>
      <sheetName val="[IQA4th.xls]ings_arsa_c_My__192"/>
      <sheetName val="[IQA4th.xls]ings_arsa_c_My__201"/>
      <sheetName val="[IQA4th.xls]ings_arsa_c_My__202"/>
      <sheetName val="[IQA4th.xls]ings_arsa_c_My__197"/>
      <sheetName val="[IQA4th.xls]ings_arsa_c_My__198"/>
      <sheetName val="[IQA4th.xls]ings_arsa_c_My__199"/>
      <sheetName val="[IQA4th.xls]ings_arsa_c_My__200"/>
      <sheetName val="[IQA4th.xls]ings_arsa_c_My__203"/>
      <sheetName val="[IQA4th.xls]ings_arsa_c_My__204"/>
      <sheetName val="[IQA4th.xls]ings_arsa_c_My__205"/>
      <sheetName val="[IQA4th.xls]ings_arsa_c_My__206"/>
      <sheetName val="[IQA4th.xls]ings_arsa_c_My__207"/>
      <sheetName val="[IQA4th.xls]ings_arsa_c_My__208"/>
      <sheetName val="[IQA4th.xls]ings_arsa_c_My__209"/>
      <sheetName val="[IQA4th.xls]ings_arsa_c_My__210"/>
      <sheetName val="[IQA4th.xls]ings_arsa_c_My__211"/>
      <sheetName val="[IQA4th.xls]ings_arsa_c_My__212"/>
      <sheetName val="[IQA4th.xls]ings_arsa_c_My__215"/>
      <sheetName val="[IQA4th.xls]ings_arsa_c_My__216"/>
      <sheetName val="[IQA4th.xls]ings_arsa_c_My__213"/>
      <sheetName val="[IQA4th.xls]ings_arsa_c_My__214"/>
      <sheetName val="[IQA4th.xls]ings_arsa_c_My__217"/>
      <sheetName val="[IQA4th.xls]ings_arsa_c_My__218"/>
      <sheetName val="[IQA4th.xls]ings_arsa_c_My__219"/>
      <sheetName val="[IQA4th.xls]ings_arsa_c_My__220"/>
      <sheetName val="[IQA4th.xls]ings_arsa_c_My__221"/>
      <sheetName val="[IQA4th.xls]ings_arsa_c_My__222"/>
      <sheetName val="[IQA4th.xls]ings_arsa_c_My__223"/>
      <sheetName val="[IQA4th.xls]ings_arsa_c_My__224"/>
      <sheetName val="[IQA4th.xls]ings_arsa_c_My__225"/>
      <sheetName val="[IQA4th.xls]ings_arsa_c_My__226"/>
      <sheetName val="[IQA4th.xls]ings_arsa_c_My__227"/>
      <sheetName val="[IQA4th.xls]ings_arsa_c_My__228"/>
      <sheetName val="[IQA4th.xls]ings_arsa_c_My__233"/>
      <sheetName val="[IQA4th.xls]ings_arsa_c_My__234"/>
      <sheetName val="[IQA4th.xls]ings_arsa_c_My__229"/>
      <sheetName val="[IQA4th.xls]ings_arsa_c_My__230"/>
      <sheetName val="[IQA4th.xls]ings_arsa_c_My__231"/>
      <sheetName val="[IQA4th.xls]ings_arsa_c_My__232"/>
      <sheetName val="[IQA4th.xls]ings_arsa_c_My__235"/>
      <sheetName val="[IQA4th.xls]ings_arsa_c_My__236"/>
      <sheetName val="[IQA4th.xls]ings_arsa_c_My__237"/>
      <sheetName val="[IQA4th.xls]ings_arsa_c_My__238"/>
      <sheetName val="[IQA4th.xls]ings_arsa_c_My__241"/>
      <sheetName val="[IQA4th.xls]ings_arsa_c_My__242"/>
      <sheetName val="[IQA4th.xls]ings_arsa_c_My__239"/>
      <sheetName val="[IQA4th.xls]ings_arsa_c_My__240"/>
      <sheetName val="[IQA4th.xls]ings_arsa_c_My__243"/>
      <sheetName val="[IQA4th.xls]ings_arsa_c_My__244"/>
      <sheetName val="[IQA4th.xls]ings_arsa_c_My__245"/>
      <sheetName val="[IQA4th.xls]ings_arsa_c_My__251"/>
      <sheetName val="[IQA4th.xls]ings_arsa_c_My__252"/>
      <sheetName val="[IQA4th.xls]ings_arsa_c_My__246"/>
      <sheetName val="[IQA4th.xls]ings_arsa_c_My__247"/>
      <sheetName val="[IQA4th.xls]ings_arsa_c_My__248"/>
      <sheetName val="[IQA4th.xls]ings_arsa_c_My__249"/>
      <sheetName val="[IQA4th.xls]ings_arsa_c_My__250"/>
      <sheetName val="[IQA4th.xls]ings_arsa_c_My__253"/>
      <sheetName val="[IQA4th.xls]ings_arsa_c_My__254"/>
      <sheetName val="[IQA4th.xls]ings_arsa_c_My__255"/>
      <sheetName val="[IQA4th.xls]ings_arsa_c_My__256"/>
      <sheetName val="[IQA4th.xls]ings_arsa_c_My__257"/>
      <sheetName val="[IQA4th.xls]ings_arsa_c_My__258"/>
      <sheetName val="[IQA4th.xls]ings_arsa_c_My__261"/>
      <sheetName val="[IQA4th.xls]ings_arsa_c_My__262"/>
      <sheetName val="[IQA4th.xls]ings_arsa_c_My__259"/>
      <sheetName val="[IQA4th.xls]ings_arsa_c_My__260"/>
      <sheetName val="[IQA4th.xls]ings_arsa_c_My__263"/>
      <sheetName val="[IQA4th.xls]ings_arsa_c_My__264"/>
      <sheetName val="[IQA4th.xls]ings_arsa_c_My__267"/>
      <sheetName val="[IQA4th.xls]ings_arsa_c_My__268"/>
      <sheetName val="[IQA4th.xls]ings_arsa_c_My__265"/>
      <sheetName val="[IQA4th.xls]ings_arsa_c_My__266"/>
      <sheetName val="08_BSS3"/>
      <sheetName val="10_PLS3"/>
      <sheetName val="01_BSJ3"/>
      <sheetName val="ings\arsa_c\My_Documents?=D:=D3"/>
      <sheetName val="[IQA4th_xls]ings\arsa_c\My_Doc3"/>
      <sheetName val="[IQA4th_xls][IQA4th_xls]ings\a3"/>
      <sheetName val="[IQA4th_xls][IQA4th_xls][IQA4t3"/>
      <sheetName val="08_BSS1"/>
      <sheetName val="10_PLS1"/>
      <sheetName val="01_BSJ1"/>
      <sheetName val="ings\arsa_c\My_Documents?=D:=D1"/>
      <sheetName val="[IQA4th_xls]ings\arsa_c\My_Doc1"/>
      <sheetName val="[IQA4th_xls][IQA4th_xls]ings\a1"/>
      <sheetName val="[IQA4th_xls][IQA4th_xls][IQA4t1"/>
      <sheetName val="08_BSS2"/>
      <sheetName val="10_PLS2"/>
      <sheetName val="01_BSJ2"/>
      <sheetName val="ings\arsa_c\My_Documents?=D:=D2"/>
      <sheetName val="[IQA4th_xls]ings\arsa_c\My_Doc2"/>
      <sheetName val="[IQA4th_xls][IQA4th_xls]ings\a2"/>
      <sheetName val="[IQA4th_xls][IQA4th_xls][IQA4t2"/>
      <sheetName val="08_BSS4"/>
      <sheetName val="10_PLS4"/>
      <sheetName val="01_BSJ4"/>
      <sheetName val="ings\arsa_c\My_Documents?=D:=D4"/>
      <sheetName val="[IQA4th_xls]ings\arsa_c\My_Doc4"/>
      <sheetName val="[IQA4th_xls][IQA4th_xls]ings\a4"/>
      <sheetName val="[IQA4th_xls][IQA4th_xls][IQA4t4"/>
      <sheetName val="[IQA4th.xls]ings_arsa_c_My__307"/>
      <sheetName val="[IQA4th.xls]ings_arsa_c_My__308"/>
      <sheetName val="[IQA4th.xls]ings_arsa_c_My__309"/>
      <sheetName val="[IQA4th.xls]ings_arsa_c_My__269"/>
      <sheetName val="[IQA4th.xls]ings_arsa_c_My__270"/>
      <sheetName val="[IQA4th.xls]ings_arsa_c_My__271"/>
      <sheetName val="[IQA4th.xls]ings_arsa_c_My__272"/>
      <sheetName val="[IQA4th.xls]ings_arsa_c_My__273"/>
      <sheetName val="[IQA4th.xls]ings_arsa_c_My__274"/>
      <sheetName val="[IQA4th.xls]ings_arsa_c_My__277"/>
      <sheetName val="[IQA4th.xls]ings_arsa_c_My__278"/>
      <sheetName val="[IQA4th.xls]ings_arsa_c_My__275"/>
      <sheetName val="[IQA4th.xls]ings_arsa_c_My__276"/>
      <sheetName val="Chart of Accounts"/>
      <sheetName val="PROFILE"/>
      <sheetName val="[IQA4th.xls]ings_arsa_c_My__279"/>
      <sheetName val="[IQA4th.xls]ings_arsa_c_My__280"/>
      <sheetName val="[IQA4th.xls]ings_arsa_c_My__281"/>
      <sheetName val="[IQA4th.xls]ings_arsa_c_My__282"/>
      <sheetName val="[IQA4th.xls]ings_arsa_c_My__285"/>
      <sheetName val="[IQA4th.xls]ings_arsa_c_My__286"/>
      <sheetName val="[IQA4th.xls]ings_arsa_c_My__283"/>
      <sheetName val="[IQA4th.xls]ings_arsa_c_My__284"/>
      <sheetName val="[IQA4th.xls]ings_arsa_c_My__287"/>
      <sheetName val="[IQA4th.xls]ings_arsa_c_My__288"/>
      <sheetName val="[IQA4th.xls]ings_arsa_c_My__289"/>
      <sheetName val="[IQA4th.xls]ings_arsa_c_My__290"/>
      <sheetName val="[IQA4th.xls]ings_arsa_c_My__291"/>
      <sheetName val="[IQA4th.xls]ings_arsa_c_My__292"/>
      <sheetName val="[IQA4th.xls]ings_arsa_c_My__293"/>
      <sheetName val="[IQA4th.xls]ings_arsa_c_My__294"/>
      <sheetName val="[IQA4th.xls]ings_arsa_c_My__295"/>
      <sheetName val="[IQA4th.xls]ings_arsa_c_My__296"/>
      <sheetName val="[IQA4th.xls]ings_arsa_c_My__297"/>
      <sheetName val="[IQA4th.xls]ings_arsa_c_My__298"/>
      <sheetName val="[IQA4th.xls]ings_arsa_c_My__299"/>
      <sheetName val="[IQA4th.xls]ings_arsa_c_My__300"/>
      <sheetName val="[IQA4th.xls]ings_arsa_c_My__301"/>
      <sheetName val="[IQA4th.xls]ings_arsa_c_My__302"/>
      <sheetName val="54-0"/>
      <sheetName val="[IQA4th.xls][IQA4th.xls]ings__4"/>
      <sheetName val="[IQA4th.xls][IQA4th.xls]_IQA4_4"/>
      <sheetName val="[IQA4th.xls]ings_arsa_c_My__303"/>
      <sheetName val="[IQA4th.xls]ings_arsa_c_My__304"/>
      <sheetName val="[IQA4th.xls]ings_arsa_c_My__305"/>
      <sheetName val="[IQA4th.xls]ings_arsa_c_My__306"/>
      <sheetName val="[IQA4th.xls]ings_arsa_c_My__447"/>
      <sheetName val="[IQA4th.xls]ings_arsa_c_My__448"/>
      <sheetName val="[IQA4th.xls]ings_arsa_c_My__449"/>
      <sheetName val="[IQA4th.xls]ings_arsa_c_My__313"/>
      <sheetName val="[IQA4th.xls]ings_arsa_c_My__323"/>
      <sheetName val="[IQA4th.xls]ings_arsa_c_My__324"/>
      <sheetName val="[IQA4th.xls]ings_arsa_c_My__314"/>
      <sheetName val="[IQA4th.xls]ings_arsa_c_My__315"/>
      <sheetName val="[IQA4th.xls]ings_arsa_c_My__316"/>
      <sheetName val="[IQA4th.xls]ings_arsa_c_My__317"/>
      <sheetName val="[IQA4th.xls]ings_arsa_c_My__318"/>
      <sheetName val="[IQA4th.xls]ings_arsa_c_My__319"/>
      <sheetName val="[IQA4th.xls]ings_arsa_c_My__320"/>
      <sheetName val="[IQA4th.xls]ings_arsa_c_My__321"/>
      <sheetName val="[IQA4th.xls]ings_arsa_c_My__322"/>
      <sheetName val="[IQA4th.xls]ings_arsa_c_My__325"/>
      <sheetName val="[IQA4th.xls]ings_arsa_c_My__327"/>
      <sheetName val="[IQA4th.xls]ings_arsa_c_My__326"/>
      <sheetName val="[IQA4th.xls]ings_arsa_c_My__332"/>
      <sheetName val="[IQA4th.xls]ings_arsa_c_My__333"/>
      <sheetName val="[IQA4th.xls]ings_arsa_c_My__328"/>
      <sheetName val="[IQA4th.xls]ings_arsa_c_My__329"/>
      <sheetName val="[IQA4th.xls]ings_arsa_c_My__330"/>
      <sheetName val="[IQA4th.xls]ings_arsa_c_My__331"/>
      <sheetName val="[IQA4th.xls]ings_arsa_c_My__334"/>
      <sheetName val="Auditor_matrix25"/>
      <sheetName val="set_date25"/>
      <sheetName val="Follow_Up25"/>
      <sheetName val="1999_Base-std25"/>
      <sheetName val="Trial_Balance25"/>
      <sheetName val="ESM_ver224"/>
      <sheetName val="APL_(2)24"/>
      <sheetName val="性能_機能向上_(3)23"/>
      <sheetName val="QC_APPROVE_SHEET1"/>
      <sheetName val="Summary_G_C(Jan'18-Apr'18)1"/>
      <sheetName val="_IQA4th_xls__IQA4th_xls__IQA4t1"/>
      <sheetName val="ings_arsa_c_My_Documents1"/>
      <sheetName val="_IQA4th_xls_ings_arsa_c_My_Doc1"/>
      <sheetName val="ings_arsa_c_My_Documents_=D_=D1"/>
      <sheetName val="_IQA4th_xls__IQA4th_xls_ings_a1"/>
      <sheetName val="Finance_Exc1"/>
      <sheetName val="2__Parameter1"/>
      <sheetName val="KVM_Switching1"/>
      <sheetName val="RF_Scanner,Bat,Charger1"/>
      <sheetName val="6__SCi1"/>
      <sheetName val="ings\arsa_c\My_Documents1"/>
      <sheetName val="ings\arsa_c\My_Docu1"/>
      <sheetName val="[IQA4th_xls]ings\ar1"/>
      <sheetName val="[IQA4th_xls][IQA4th1"/>
      <sheetName val="ref2"/>
      <sheetName val="[IQA4th.xls]ings_arsa_c_My__335"/>
      <sheetName val="[IQA4th.xls]ings_arsa_c_My__336"/>
      <sheetName val="[IQA4th.xls]ings_arsa_c_My__337"/>
      <sheetName val="[IQA4th.xls]ings_arsa_c_My__338"/>
      <sheetName val="[IQA4th.xls]ings_arsa_c_My__343"/>
      <sheetName val="[IQA4th.xls]ings_arsa_c_My__344"/>
      <sheetName val="[IQA4th.xls]ings_arsa_c_My__339"/>
      <sheetName val="[IQA4th.xls]ings_arsa_c_My__340"/>
      <sheetName val="[IQA4th.xls]ings_arsa_c_My__341"/>
      <sheetName val="[IQA4th.xls]ings_arsa_c_My__342"/>
      <sheetName val="[IQA4th.xls]ings_arsa_c_My__345"/>
      <sheetName val="[IQA4th.xls]ings_arsa_c_My__346"/>
      <sheetName val="[IQA4th.xls]ings_arsa_c_My__347"/>
      <sheetName val="[IQA4th.xls]ings_arsa_c_My__348"/>
      <sheetName val="[IQA4th.xls]ings_arsa_c_My__349"/>
      <sheetName val="[IQA4th.xls]ings_arsa_c_My__350"/>
      <sheetName val="[IQA4th.xls]ings_arsa_c_My__351"/>
      <sheetName val="[IQA4th.xls]ings_arsa_c_My__356"/>
      <sheetName val="[IQA4th.xls]ings_arsa_c_My__357"/>
      <sheetName val="[IQA4th.xls]ings_arsa_c_My__352"/>
      <sheetName val="[IQA4th.xls]ings_arsa_c_My__353"/>
      <sheetName val="[IQA4th.xls]ings_arsa_c_My__354"/>
      <sheetName val="[IQA4th.xls]ings_arsa_c_My__355"/>
      <sheetName val="[IQA4th.xls]ings_arsa_c_My__358"/>
      <sheetName val="[IQA4th.xls]ings_arsa_c_My__359"/>
      <sheetName val="[IQA4th.xls]ings_arsa_c_My__360"/>
      <sheetName val="[IQA4th.xls]ings_arsa_c_My__364"/>
      <sheetName val="[IQA4th.xls]ings_arsa_c_My__365"/>
      <sheetName val="[IQA4th.xls]ings_arsa_c_My__366"/>
      <sheetName val="[IQA4th.xls]ings_arsa_c_My__361"/>
      <sheetName val="[IQA4th.xls]ings_arsa_c_My__362"/>
      <sheetName val="[IQA4th.xls]ings_arsa_c_My__363"/>
      <sheetName val="[IQA4th.xls]ings_arsa_c_My__367"/>
      <sheetName val="[IQA4th.xls]ings_arsa_c_My__368"/>
      <sheetName val="[IQA4th.xls]ings_arsa_c_My__369"/>
      <sheetName val="[IQA4th.xls]ings_arsa_c_My__370"/>
      <sheetName val="[IQA4th.xls]ings_arsa_c_My__372"/>
      <sheetName val="[IQA4th.xls]ings_arsa_c_My__371"/>
      <sheetName val="[IQA4th.xls]ings_arsa_c_My__373"/>
      <sheetName val="[IQA4th.xls]ings_arsa_c_My__374"/>
      <sheetName val="[IQA4th.xls]ings_arsa_c_My__375"/>
      <sheetName val="[IQA4th.xls]ings_arsa_c_My__376"/>
      <sheetName val="[IQA4th.xls]ings_arsa_c_My__377"/>
      <sheetName val="[IQA4th.xls]ings_arsa_c_My__378"/>
      <sheetName val="[IQA4th.xls]ings_arsa_c_My__379"/>
      <sheetName val="[IQA4th.xls]ings_arsa_c_My__380"/>
      <sheetName val="[IQA4th.xls]ings_arsa_c_My__381"/>
      <sheetName val="[IQA4th.xls]ings_arsa_c_My__382"/>
      <sheetName val="[IQA4th.xls]ings_arsa_c_My__383"/>
      <sheetName val="[IQA4th.xls]ings_arsa_c_My__384"/>
      <sheetName val="[IQA4th.xls]ings_arsa_c_My__385"/>
      <sheetName val="[IQA4th.xls]ings_arsa_c_My__386"/>
      <sheetName val="[IQA4th.xls]ings_arsa_c_My__387"/>
      <sheetName val="[IQA4th.xls]ings_arsa_c_My__390"/>
      <sheetName val="[IQA4th.xls]ings_arsa_c_My__388"/>
      <sheetName val="[IQA4th.xls]ings_arsa_c_My__389"/>
      <sheetName val="[IQA4th.xls]ings_arsa_c_My__391"/>
      <sheetName val="[IQA4th.xls]ings_arsa_c_My__392"/>
      <sheetName val="[IQA4th.xls]ings_arsa_c_My__393"/>
      <sheetName val="[IQA4th.xls]ings_arsa_c_My__410"/>
      <sheetName val="[IQA4th.xls]ings_arsa_c_My__411"/>
      <sheetName val="[IQA4th.xls]ings_arsa_c_My__412"/>
      <sheetName val="[IQA4th.xls]ings_arsa_c_My__394"/>
      <sheetName val="[IQA4th.xls]ings_arsa_c_My__395"/>
      <sheetName val="[IQA4th.xls]ings_arsa_c_My__396"/>
      <sheetName val="[IQA4th.xls]ings_arsa_c_My__397"/>
      <sheetName val="[IQA4th.xls]ings_arsa_c_My__398"/>
      <sheetName val="[IQA4th.xls]ings_arsa_c_My__399"/>
      <sheetName val="[IQA4th.xls]ings_arsa_c_My__400"/>
      <sheetName val="[IQA4th.xls]ings_arsa_c_My__401"/>
      <sheetName val="[IQA4th.xls]ings_arsa_c_My__402"/>
      <sheetName val="[IQA4th.xls]ings_arsa_c_My__403"/>
      <sheetName val="[IQA4th.xls]ings_arsa_c_My__404"/>
      <sheetName val="[IQA4th.xls]ings_arsa_c_My__405"/>
      <sheetName val="[IQA4th.xls]ings_arsa_c_My__406"/>
      <sheetName val="[IQA4th.xls]ings_arsa_c_My__408"/>
      <sheetName val="[IQA4th.xls]ings_arsa_c_My__409"/>
      <sheetName val="[IQA4th.xls]ings_arsa_c_My__407"/>
      <sheetName val="[IQA4th.xls]ings_arsa_c_My__413"/>
      <sheetName val="[IQA4th.xls]ings_arsa_c_My__414"/>
      <sheetName val="[IQA4th.xls]ings_arsa_c_My__415"/>
      <sheetName val="[IQA4th.xls]ings_arsa_c_My__416"/>
      <sheetName val="[IQA4th.xls]ings_arsa_c_My__417"/>
      <sheetName val="[IQA4th.xls]ings_arsa_c_My__418"/>
      <sheetName val="[IQA4th.xls]ings_arsa_c_My__419"/>
      <sheetName val="[IQA4th.xls]ings_arsa_c_My__420"/>
      <sheetName val="[IQA4th.xls]ings_arsa_c_My__421"/>
      <sheetName val="USDXAU Before"/>
      <sheetName val="[IQA4th.xls]ings_arsa_c_My__427"/>
      <sheetName val="[IQA4th.xls]ings_arsa_c_My__428"/>
      <sheetName val="[IQA4th.xls]ings_arsa_c_My__429"/>
      <sheetName val="[IQA4th.xls]ings_arsa_c_My__422"/>
      <sheetName val="[IQA4th.xls]ings_arsa_c_My__423"/>
      <sheetName val="[IQA4th.xls]ings_arsa_c_My__424"/>
      <sheetName val="[IQA4th.xls]ings_arsa_c_My__425"/>
      <sheetName val="[IQA4th.xls]ings_arsa_c_My__426"/>
      <sheetName val="[IQA4th.xls]ings_arsa_c_My__430"/>
      <sheetName val="[IQA4th.xls]ings_arsa_c_My__431"/>
      <sheetName val="[IQA4th.xls]ings_arsa_c_My__432"/>
      <sheetName val="[IQA4th.xls]ings_arsa_c_My__433"/>
      <sheetName val="[IQA4th.xls]ings_arsa_c_My__434"/>
      <sheetName val="[IQA4th.xls]ings_arsa_c_My__435"/>
      <sheetName val="[IQA4th.xls]ings_arsa_c_My__436"/>
      <sheetName val="[IQA4th.xls]ings_arsa_c_My__437"/>
      <sheetName val="[IQA4th.xls]ings_arsa_c_My__444"/>
      <sheetName val="[IQA4th.xls]ings_arsa_c_My__445"/>
      <sheetName val="[IQA4th.xls]ings_arsa_c_My__446"/>
      <sheetName val="[IQA4th.xls]ings_arsa_c_My__441"/>
      <sheetName val="[IQA4th.xls]ings_arsa_c_My__442"/>
      <sheetName val="[IQA4th.xls]ings_arsa_c_My__443"/>
      <sheetName val="[IQA4th.xls]ings_arsa_c_My__438"/>
      <sheetName val="[IQA4th.xls]ings_arsa_c_My__439"/>
      <sheetName val="[IQA4th.xls]ings_arsa_c_My__440"/>
      <sheetName val="[IQA4th.xls]ings_arsa_c_My_1162"/>
      <sheetName val="[IQA4th.xls]ings_arsa_c_My_1163"/>
      <sheetName val="[IQA4th.xls]ings_arsa_c_My_1164"/>
      <sheetName val="mnly"/>
      <sheetName val="Plan"/>
      <sheetName val="jpr"/>
      <sheetName val="投資まとめ"/>
      <sheetName val="FinishedGoodsDatabase上期"/>
      <sheetName val="SCH"/>
      <sheetName val="Mth Volume"/>
      <sheetName val="Qtr Volume"/>
      <sheetName val="797T輸入部品リスト"/>
      <sheetName val="Table for Graph"/>
      <sheetName val="_IQA4th.xls_ings_arsa_c_My_D_12"/>
      <sheetName val="_IQA4th.xls_ings_arsa_c_My_D_13"/>
      <sheetName val="_IQA4th.xls_ings_arsa_c_My_Do_4"/>
      <sheetName val="_IQA4th.xls_ings_arsa_c_My_Do_5"/>
      <sheetName val="_IQA4th.xls_ings_arsa_c_My_Do_2"/>
      <sheetName val="_IQA4th.xls_ings_arsa_c_My_Do_3"/>
      <sheetName val="_IQA4th.xls_ings_arsa_c_My_Do_6"/>
      <sheetName val="_IQA4th.xls_ings_arsa_c_My_Do_7"/>
      <sheetName val="_IQA4th.xls_ings_arsa_c_My_Do_8"/>
      <sheetName val="_IQA4th.xls_ings_arsa_c_My_Do_9"/>
      <sheetName val="_IQA4th.xls_ings_arsa_c_My_D_10"/>
      <sheetName val="_IQA4th.xls_ings_arsa_c_My_D_11"/>
      <sheetName val="_IQA4th.xls_ings_arsa_c_My__134"/>
      <sheetName val="_IQA4th.xls_ings_arsa_c_My__135"/>
      <sheetName val="_IQA4th.xls_ings_arsa_c_My_D_16"/>
      <sheetName val="_IQA4th.xls_ings_arsa_c_My_D_14"/>
      <sheetName val="_IQA4th.xls_ings_arsa_c_My_D_15"/>
      <sheetName val="_IQA4th.xls_ings_arsa_c_My_D_17"/>
      <sheetName val="_IQA4th.xls_ings_arsa_c_My_D_26"/>
      <sheetName val="_IQA4th.xls_ings_arsa_c_My_D_27"/>
      <sheetName val="_IQA4th.xls_ings_arsa_c_My_D_18"/>
      <sheetName val="_IQA4th.xls_ings_arsa_c_My_D_19"/>
      <sheetName val="_IQA4th.xls_ings_arsa_c_My_D_20"/>
      <sheetName val="_IQA4th.xls_ings_arsa_c_My_D_21"/>
      <sheetName val="_IQA4th.xls_ings_arsa_c_My_D_22"/>
      <sheetName val="_IQA4th.xls_ings_arsa_c_My_D_23"/>
      <sheetName val="_IQA4th.xls_ings_arsa_c_My_D_24"/>
      <sheetName val="_IQA4th.xls_ings_arsa_c_My_D_25"/>
      <sheetName val="_IQA4th.xls_ings_arsa_c_My_D_30"/>
      <sheetName val="_IQA4th.xls_ings_arsa_c_My_D_31"/>
      <sheetName val="_IQA4th.xls_ings_arsa_c_My_D_28"/>
      <sheetName val="_IQA4th.xls_ings_arsa_c_My_D_29"/>
      <sheetName val="_IQA4th.xls_ings_arsa_c_My_D_32"/>
      <sheetName val="_IQA4th.xls_ings_arsa_c_My_D_33"/>
      <sheetName val="_IQA4th.xls_ings_arsa_c_My__114"/>
      <sheetName val="_IQA4th.xls_ings_arsa_c_My__115"/>
      <sheetName val="_IQA4th.xls_ings_arsa_c_My_D_34"/>
      <sheetName val="_IQA4th.xls_ings_arsa_c_My_D_35"/>
      <sheetName val="_IQA4th.xls__IQA4th.xls_ings__2"/>
      <sheetName val="_IQA4th.xls__IQA4th.xls__IQA4_2"/>
      <sheetName val="_IQA4th.xls__IQA4th.xls_ings__3"/>
      <sheetName val="_IQA4th.xls__IQA4th.xls__IQA4_3"/>
      <sheetName val="_IQA4th.xls_ings_arsa_c_My_D_36"/>
      <sheetName val="_IQA4th.xls_ings_arsa_c_My_D_37"/>
      <sheetName val="_IQA4th.xls_ings_arsa_c_My_D_38"/>
      <sheetName val="_IQA4th.xls_ings_arsa_c_My_D_39"/>
      <sheetName val="_IQA4th.xls_ings_arsa_c_My__100"/>
      <sheetName val="_IQA4th.xls_ings_arsa_c_My__101"/>
      <sheetName val="_IQA4th.xls_ings_arsa_c_My_D_56"/>
      <sheetName val="_IQA4th.xls_ings_arsa_c_My_D_57"/>
      <sheetName val="_IQA4th.xls_ings_arsa_c_My_D_50"/>
      <sheetName val="_IQA4th.xls_ings_arsa_c_My_D_51"/>
      <sheetName val="_IQA4th.xls_ings_arsa_c_My_D_40"/>
      <sheetName val="_IQA4th.xls_ings_arsa_c_My_D_41"/>
      <sheetName val="_IQA4th.xls_ings_arsa_c_My_D_48"/>
      <sheetName val="_IQA4th.xls_ings_arsa_c_My_D_49"/>
      <sheetName val="_IQA4th.xls_ings_arsa_c_My_D_42"/>
      <sheetName val="_IQA4th.xls_ings_arsa_c_My_D_43"/>
      <sheetName val="_IQA4th.xls_ings_arsa_c_My_D_44"/>
      <sheetName val="_IQA4th.xls_ings_arsa_c_My_D_45"/>
      <sheetName val="_IQA4th.xls_ings_arsa_c_My_D_46"/>
      <sheetName val="_IQA4th.xls_ings_arsa_c_My_D_47"/>
      <sheetName val="_IQA4th.xls_ings_arsa_c_My_D_54"/>
      <sheetName val="_IQA4th.xls_ings_arsa_c_My_D_55"/>
      <sheetName val="_IQA4th.xls_ings_arsa_c_My_D_52"/>
      <sheetName val="_IQA4th.xls_ings_arsa_c_My_D_53"/>
      <sheetName val="_IQA4th.xls_ings_arsa_c_My_D_58"/>
      <sheetName val="_IQA4th.xls_ings_arsa_c_My_D_59"/>
      <sheetName val="_IQA4th.xls_ings_arsa_c_My_D_66"/>
      <sheetName val="_IQA4th.xls_ings_arsa_c_My_D_67"/>
      <sheetName val="_IQA4th.xls_ings_arsa_c_My_D_60"/>
      <sheetName val="_IQA4th.xls_ings_arsa_c_My_D_61"/>
      <sheetName val="_IQA4th.xls_ings_arsa_c_My_D_62"/>
      <sheetName val="_IQA4th.xls_ings_arsa_c_My_D_63"/>
      <sheetName val="_IQA4th.xls_ings_arsa_c_My_D_64"/>
      <sheetName val="_IQA4th.xls_ings_arsa_c_My_D_65"/>
      <sheetName val="_IQA4th.xls_ings_arsa_c_My_D_68"/>
      <sheetName val="_IQA4th.xls_ings_arsa_c_My_D_69"/>
      <sheetName val="_IQA4th.xls_ings_arsa_c_My_D_90"/>
      <sheetName val="_IQA4th.xls_ings_arsa_c_My_D_91"/>
      <sheetName val="_IQA4th.xls_ings_arsa_c_My_D_82"/>
      <sheetName val="_IQA4th.xls_ings_arsa_c_My_D_83"/>
      <sheetName val="_IQA4th.xls_ings_arsa_c_My_D_70"/>
      <sheetName val="_IQA4th.xls_ings_arsa_c_My_D_71"/>
      <sheetName val="MARCH-APRIL. 03"/>
      <sheetName val="[IQA4th.xls]ings_arsa_c_My__450"/>
      <sheetName val="[IQA4th.xls]ings_arsa_c_My__451"/>
      <sheetName val="[IQA4th.xls]ings_arsa_c_My__452"/>
      <sheetName val="[IQA4th.xls]ings_arsa_c_My__453"/>
      <sheetName val="[IQA4th.xls]ings_arsa_c_My__454"/>
      <sheetName val="[IQA4th.xls]ings_arsa_c_My__455"/>
      <sheetName val="[IQA4th.xls]ings_arsa_c_My__456"/>
      <sheetName val="[IQA4th.xls]ings_arsa_c_My__457"/>
      <sheetName val="[IQA4th.xls]ings_arsa_c_My__458"/>
      <sheetName val="[IQA4th.xls]ings_arsa_c_My__462"/>
      <sheetName val="[IQA4th.xls]ings_arsa_c_My__463"/>
      <sheetName val="[IQA4th.xls]ings_arsa_c_My__464"/>
      <sheetName val="[IQA4th.xls]ings_arsa_c_My__459"/>
      <sheetName val="[IQA4th.xls]ings_arsa_c_My__460"/>
      <sheetName val="[IQA4th.xls]ings_arsa_c_My__461"/>
      <sheetName val="[IQA4th.xls]ings_arsa_c_My__465"/>
      <sheetName val="[IQA4th.xls]ings_arsa_c_My__466"/>
      <sheetName val="[IQA4th.xls]ings_arsa_c_My__467"/>
      <sheetName val="[IQA4th.xls]ings_arsa_c_My__501"/>
      <sheetName val="[IQA4th.xls]ings_arsa_c_My__502"/>
      <sheetName val="[IQA4th.xls]ings_arsa_c_My__503"/>
      <sheetName val="[IQA4th.xls]ings_arsa_c_My__498"/>
      <sheetName val="[IQA4th.xls]ings_arsa_c_My__499"/>
      <sheetName val="[IQA4th.xls]ings_arsa_c_My__500"/>
      <sheetName val="[IQA4th.xls]ings_arsa_c_My__468"/>
      <sheetName val="[IQA4th.xls]ings_arsa_c_My__469"/>
      <sheetName val="[IQA4th.xls]ings_arsa_c_My__470"/>
      <sheetName val="[IQA4th.xls]ings_arsa_c_My__471"/>
      <sheetName val="[IQA4th.xls]ings_arsa_c_My__472"/>
      <sheetName val="[IQA4th.xls]ings_arsa_c_My__473"/>
      <sheetName val="[IQA4th.xls]ings_arsa_c_My__474"/>
      <sheetName val="[IQA4th.xls]ings_arsa_c_My__475"/>
      <sheetName val="[IQA4th.xls]ings_arsa_c_My__476"/>
      <sheetName val="[IQA4th.xls]ings_arsa_c_My__477"/>
      <sheetName val="[IQA4th.xls]ings_arsa_c_My__478"/>
      <sheetName val="[IQA4th.xls]ings_arsa_c_My__479"/>
      <sheetName val="[IQA4th.xls]ings_arsa_c_My__480"/>
      <sheetName val="[IQA4th.xls]ings_arsa_c_My__481"/>
      <sheetName val="[IQA4th.xls]ings_arsa_c_My__482"/>
      <sheetName val="[IQA4th.xls]ings_arsa_c_My__483"/>
      <sheetName val="[IQA4th.xls]ings_arsa_c_My__484"/>
      <sheetName val="[IQA4th.xls]ings_arsa_c_My__485"/>
      <sheetName val="[IQA4th.xls]ings_arsa_c_My__486"/>
      <sheetName val="[IQA4th.xls]ings_arsa_c_My__487"/>
      <sheetName val="[IQA4th.xls]ings_arsa_c_My__488"/>
      <sheetName val="[IQA4th.xls]ings_arsa_c_My__489"/>
      <sheetName val="[IQA4th.xls]ings_arsa_c_My__490"/>
      <sheetName val="[IQA4th.xls]ings_arsa_c_My__491"/>
      <sheetName val="[IQA4th.xls]ings_arsa_c_My__492"/>
      <sheetName val="[IQA4th.xls]ings_arsa_c_My__493"/>
      <sheetName val="[IQA4th.xls]ings_arsa_c_My__494"/>
      <sheetName val="[IQA4th.xls]ings_arsa_c_My__495"/>
      <sheetName val="[IQA4th.xls]ings_arsa_c_My__496"/>
      <sheetName val="[IQA4th.xls]ings_arsa_c_My__497"/>
      <sheetName val="[IQA4th_xls]ings_arsa_c_My_D_16"/>
      <sheetName val="[IQA4th_xls]ings_arsa_c_My_D_12"/>
      <sheetName val="[IQA4th_xls]ings_arsa_c_My_D_13"/>
      <sheetName val="[IQA4th_xls]ings_arsa_c_My_Do_2"/>
      <sheetName val="[IQA4th_xls]ings_arsa_c_My_Do_3"/>
      <sheetName val="[IQA4th_xls]ings_arsa_c_My_Do_6"/>
      <sheetName val="[IQA4th_xls]ings_arsa_c_My_Do_7"/>
      <sheetName val="[IQA4th_xls]ings_arsa_c_My_Do_4"/>
      <sheetName val="[IQA4th_xls]ings_arsa_c_My_Do_5"/>
      <sheetName val="[IQA4th_xls]ings_arsa_c_My_D_10"/>
      <sheetName val="[IQA4th_xls]ings_arsa_c_My_D_11"/>
      <sheetName val="[IQA4th_xls]ings_arsa_c_My_Do_8"/>
      <sheetName val="[IQA4th_xls]ings_arsa_c_My_Do_9"/>
      <sheetName val="[IQA4th_xls]ings_arsa_c_My_D_14"/>
      <sheetName val="[IQA4th_xls]ings_arsa_c_My_D_15"/>
      <sheetName val="[IQA4th_xls]ings_arsa_c_My_D_17"/>
      <sheetName val="[IQA4th_xls]ings_arsa_c_My_D_26"/>
      <sheetName val="[IQA4th_xls]ings_arsa_c_My_D_27"/>
      <sheetName val="[IQA4th_xls]ings_arsa_c_My_D_18"/>
      <sheetName val="[IQA4th_xls]ings_arsa_c_My_D_19"/>
      <sheetName val="[IQA4th_xls]ings_arsa_c_My_D_20"/>
      <sheetName val="[IQA4th_xls]ings_arsa_c_My_D_21"/>
      <sheetName val="[IQA4th_xls]ings_arsa_c_My_D_22"/>
      <sheetName val="[IQA4th_xls]ings_arsa_c_My_D_23"/>
      <sheetName val="[IQA4th_xls]ings_arsa_c_My_D_24"/>
      <sheetName val="[IQA4th_xls]ings_arsa_c_My_D_25"/>
      <sheetName val="[IQA4th_xls]ings_arsa_c_My_D_28"/>
      <sheetName val="[IQA4th_xls]ings_arsa_c_My_D_29"/>
      <sheetName val="[IQA4th_xls]ings_arsa_c_My_D_30"/>
      <sheetName val="[IQA4th_xls]ings_arsa_c_My_D_31"/>
      <sheetName val="[IQA4th_xls]ings_arsa_c_My_D_32"/>
      <sheetName val="[IQA4th_xls]ings_arsa_c_My_D_33"/>
      <sheetName val="[IQA4th_xls]ings_arsa_c_My_D_34"/>
      <sheetName val="[IQA4th_xls]ings_arsa_c_My_D_35"/>
      <sheetName val="[IQA4th_xls]ings_arsa_c_My__114"/>
      <sheetName val="[IQA4th_xls]ings_arsa_c_My__115"/>
      <sheetName val="[IQA4th_xls][IQA4th_xls]ings__2"/>
      <sheetName val="[IQA4th_xls][IQA4th_xls]_IQA4_2"/>
      <sheetName val="[IQA4th_xls][IQA4th_xls]ings__3"/>
      <sheetName val="[IQA4th_xls][IQA4th_xls]_IQA4_3"/>
      <sheetName val="[IQA4th_xls]ings_arsa_c_My_D_36"/>
      <sheetName val="[IQA4th_xls]ings_arsa_c_My_D_37"/>
      <sheetName val="[IQA4th_xls]ings_arsa_c_My_D_38"/>
      <sheetName val="[IQA4th_xls]ings_arsa_c_My_D_39"/>
      <sheetName val="[IQA4th_xls]ings_arsa_c_My__100"/>
      <sheetName val="[IQA4th_xls]ings_arsa_c_My__101"/>
      <sheetName val="[IQA4th_xls]ings_arsa_c_My_D_56"/>
      <sheetName val="[IQA4th_xls]ings_arsa_c_My_D_57"/>
      <sheetName val="[IQA4th_xls]ings_arsa_c_My_D_50"/>
      <sheetName val="[IQA4th_xls]ings_arsa_c_My_D_51"/>
      <sheetName val="[IQA4th_xls]ings_arsa_c_My_D_40"/>
      <sheetName val="[IQA4th_xls]ings_arsa_c_My_D_41"/>
      <sheetName val="[IQA4th_xls]ings_arsa_c_My_D_48"/>
      <sheetName val="[IQA4th_xls]ings_arsa_c_My_D_49"/>
      <sheetName val="[IQA4th_xls]ings_arsa_c_My_D_42"/>
      <sheetName val="[IQA4th_xls]ings_arsa_c_My_D_43"/>
      <sheetName val="[IQA4th_xls]ings_arsa_c_My_D_44"/>
      <sheetName val="[IQA4th_xls]ings_arsa_c_My_D_45"/>
      <sheetName val="[IQA4th_xls]ings_arsa_c_My_D_46"/>
      <sheetName val="[IQA4th_xls]ings_arsa_c_My_D_47"/>
      <sheetName val="[IQA4th_xls]ings_arsa_c_My_D_54"/>
      <sheetName val="[IQA4th_xls]ings_arsa_c_My_D_55"/>
      <sheetName val="[IQA4th_xls]ings_arsa_c_My_D_52"/>
      <sheetName val="[IQA4th_xls]ings_arsa_c_My_D_53"/>
      <sheetName val="[IQA4th_xls]ings_arsa_c_My_D_58"/>
      <sheetName val="[IQA4th_xls]ings_arsa_c_My_D_59"/>
      <sheetName val="[IQA4th_xls]ings_arsa_c_My_D_66"/>
      <sheetName val="[IQA4th_xls]ings_arsa_c_My_D_67"/>
      <sheetName val="[IQA4th_xls]ings_arsa_c_My_D_60"/>
      <sheetName val="[IQA4th_xls]ings_arsa_c_My_D_61"/>
      <sheetName val="[IQA4th_xls]ings_arsa_c_My_D_62"/>
      <sheetName val="[IQA4th_xls]ings_arsa_c_My_D_63"/>
      <sheetName val="[IQA4th_xls]ings_arsa_c_My_D_64"/>
      <sheetName val="[IQA4th_xls]ings_arsa_c_My_D_65"/>
      <sheetName val="[IQA4th_xls]ings_arsa_c_My_D_68"/>
      <sheetName val="[IQA4th_xls]ings_arsa_c_My_D_69"/>
      <sheetName val="[IQA4th_xls]ings_arsa_c_My_D_90"/>
      <sheetName val="[IQA4th_xls]ings_arsa_c_My_D_91"/>
      <sheetName val="[IQA4th_xls]ings_arsa_c_My_D_82"/>
      <sheetName val="[IQA4th_xls]ings_arsa_c_My_D_83"/>
      <sheetName val="[IQA4th_xls]ings_arsa_c_My_D_70"/>
      <sheetName val="[IQA4th_xls]ings_arsa_c_My_D_71"/>
      <sheetName val="STD_model"/>
      <sheetName val="[IQA4th_xls]ings_arsa_c_My_D_74"/>
      <sheetName val="[IQA4th_xls]ings_arsa_c_My_D_75"/>
      <sheetName val="[IQA4th_xls]ings_arsa_c_My_D_72"/>
      <sheetName val="[IQA4th_xls]ings_arsa_c_My_D_73"/>
      <sheetName val="[IQA4th_xls]ings_arsa_c_My_D_80"/>
      <sheetName val="[IQA4th_xls]ings_arsa_c_My_D_81"/>
      <sheetName val="[IQA4th_xls]ings_arsa_c_My_D_76"/>
      <sheetName val="[IQA4th_xls]ings_arsa_c_My_D_77"/>
      <sheetName val="[IQA4th_xls]ings_arsa_c_My_D_78"/>
      <sheetName val="[IQA4th_xls]ings_arsa_c_My_D_79"/>
      <sheetName val="[IQA4th_xls]ings_arsa_c_My_D_88"/>
      <sheetName val="[IQA4th_xls]ings_arsa_c_My_D_89"/>
      <sheetName val="[IQA4th_xls]ings_arsa_c_My_D_84"/>
      <sheetName val="[IQA4th_xls]ings_arsa_c_My_D_85"/>
      <sheetName val="[IQA4th_xls]ings_arsa_c_My_D_86"/>
      <sheetName val="[IQA4th_xls]ings_arsa_c_My_D_87"/>
      <sheetName val="[IQA4th_xls]ings_arsa_c_My_D_96"/>
      <sheetName val="[IQA4th_xls]ings_arsa_c_My_D_97"/>
      <sheetName val="[IQA4th_xls]ings_arsa_c_My_D_92"/>
      <sheetName val="[IQA4th_xls]ings_arsa_c_My_D_93"/>
      <sheetName val="[IQA4th_xls]ings_arsa_c_My_D_94"/>
      <sheetName val="[IQA4th_xls]ings_arsa_c_My_D_95"/>
      <sheetName val="[IQA4th_xls]ings_arsa_c_My_D_98"/>
      <sheetName val="[IQA4th_xls]ings_arsa_c_My_D_99"/>
      <sheetName val="[IQA4th_xls]ings_arsa_c_My__102"/>
      <sheetName val="[IQA4th_xls]ings_arsa_c_My__103"/>
      <sheetName val="[IQA4th_xls]ings_arsa_c_My__104"/>
      <sheetName val="[IQA4th_xls]ings_arsa_c_My__105"/>
      <sheetName val="[IQA4th_xls]ings_arsa_c_My__108"/>
      <sheetName val="[IQA4th_xls]ings_arsa_c_My__109"/>
      <sheetName val="[IQA4th_xls]ings_arsa_c_My__106"/>
      <sheetName val="[IQA4th_xls]ings_arsa_c_My__107"/>
      <sheetName val="[IQA4th_xls]ings_arsa_c_My__110"/>
      <sheetName val="[IQA4th_xls]ings_arsa_c_My__111"/>
      <sheetName val="[IQA4th_xls]ings_arsa_c_My__112"/>
      <sheetName val="[IQA4th_xls]ings_arsa_c_My__113"/>
      <sheetName val="[IQA4th_xls]ings_arsa_c_My__120"/>
      <sheetName val="[IQA4th_xls]ings_arsa_c_My__121"/>
      <sheetName val="[IQA4th_xls]ings_arsa_c_My__118"/>
      <sheetName val="[IQA4th_xls]ings_arsa_c_My__119"/>
      <sheetName val="[IQA4th_xls]ings_arsa_c_My__116"/>
      <sheetName val="[IQA4th_xls]ings_arsa_c_My__117"/>
      <sheetName val="[IQA4th_xls]ings_arsa_c_My__138"/>
      <sheetName val="[IQA4th_xls]ings_arsa_c_My__139"/>
      <sheetName val="[IQA4th_xls]ings_arsa_c_My__122"/>
      <sheetName val="[IQA4th_xls]ings_arsa_c_My__123"/>
      <sheetName val="[IQA4th_xls]ings_arsa_c_My__124"/>
      <sheetName val="[IQA4th_xls]ings_arsa_c_My__125"/>
      <sheetName val="[IQA4th_xls]ings_arsa_c_My__126"/>
      <sheetName val="[IQA4th_xls]ings_arsa_c_My__127"/>
      <sheetName val="[IQA4th_xls]ings_arsa_c_My__128"/>
      <sheetName val="[IQA4th_xls]ings_arsa_c_My__129"/>
      <sheetName val="[IQA4th_xls]ings_arsa_c_My__130"/>
      <sheetName val="[IQA4th_xls]ings_arsa_c_My__131"/>
      <sheetName val="[IQA4th_xls]ings_arsa_c_My__132"/>
      <sheetName val="[IQA4th_xls]ings_arsa_c_My__133"/>
      <sheetName val="[IQA4th_xls]ings_arsa_c_My__134"/>
      <sheetName val="[IQA4th_xls]ings_arsa_c_My__135"/>
      <sheetName val="[IQA4th_xls]ings_arsa_c_My__136"/>
      <sheetName val="[IQA4th_xls]ings_arsa_c_My__137"/>
      <sheetName val="[IQA4th_xls]ings_arsa_c_My__142"/>
      <sheetName val="[IQA4th_xls]ings_arsa_c_My__143"/>
      <sheetName val="[IQA4th_xls]ings_arsa_c_My__140"/>
      <sheetName val="[IQA4th_xls]ings_arsa_c_My__141"/>
      <sheetName val="[IQA4th_xls]ings_arsa_c_My__146"/>
      <sheetName val="[IQA4th_xls]ings_arsa_c_My__147"/>
      <sheetName val="[IQA4th_xls]ings_arsa_c_My__144"/>
      <sheetName val="[IQA4th_xls]ings_arsa_c_My__145"/>
      <sheetName val="[IQA4th_xls]ings_arsa_c_My__152"/>
      <sheetName val="[IQA4th_xls]ings_arsa_c_My__153"/>
      <sheetName val="[IQA4th_xls]ings_arsa_c_My__148"/>
      <sheetName val="[IQA4th_xls]ings_arsa_c_My__149"/>
      <sheetName val="[IQA4th_xls]ings_arsa_c_My__150"/>
      <sheetName val="[IQA4th_xls]ings_arsa_c_My__151"/>
      <sheetName val="[IQA4th_xls]ings_arsa_c_My__154"/>
      <sheetName val="[IQA4th_xls]ings_arsa_c_My__155"/>
      <sheetName val="[IQA4th_xls]ings_arsa_c_My__156"/>
      <sheetName val="[IQA4th_xls]ings_arsa_c_My__157"/>
      <sheetName val="[IQA4th_xls]ings_arsa_c_My__158"/>
      <sheetName val="[IQA4th_xls]ings_arsa_c_My__159"/>
      <sheetName val="[IQA4th_xls]ings_arsa_c_My__162"/>
      <sheetName val="[IQA4th_xls]ings_arsa_c_My__163"/>
      <sheetName val="[IQA4th_xls]ings_arsa_c_My__160"/>
      <sheetName val="[IQA4th_xls]ings_arsa_c_My__161"/>
      <sheetName val="[IQA4th.xls]ings_arsa_c_My_1136"/>
      <sheetName val="[IQA4th.xls]ings_arsa_c_My_1137"/>
      <sheetName val="[IQA4th.xls]ings_arsa_c_My_1138"/>
      <sheetName val="OEE1"/>
      <sheetName val="[IQA4th.xls][IQA4th_xls]ings__2"/>
      <sheetName val="[IQA4th.xls][IQA4th_xls]_IQA4_2"/>
      <sheetName val="[IQA4th.xls]ings\arsa_c\My_Docu"/>
      <sheetName val="[IQA4th.xls][IQA4th_xls]ings\ar"/>
      <sheetName val="[IQA4th.xls]ings_arsa_c_My__504"/>
      <sheetName val="[IQA4th.xls]ings_arsa_c_My__505"/>
      <sheetName val="[IQA4th.xls]ings_arsa_c_My__506"/>
      <sheetName val="[IQA4th.xls]ings_arsa_c_My__507"/>
      <sheetName val="[IQA4th.xls]ings_arsa_c_My__508"/>
      <sheetName val="[IQA4th.xls]ings_arsa_c_My__509"/>
      <sheetName val="[IQA4th.xls]ings_arsa_c_My__510"/>
      <sheetName val="[IQA4th.xls]ings_arsa_c_My__511"/>
      <sheetName val="[IQA4th.xls]ings_arsa_c_My__692"/>
      <sheetName val="[IQA4th.xls]ings_arsa_c_My__693"/>
      <sheetName val="[IQA4th.xls]ings_arsa_c_My__694"/>
      <sheetName val="[IQA4th.xls]ings_arsa_c_My__515"/>
      <sheetName val="[IQA4th.xls]ings_arsa_c_My__516"/>
      <sheetName val="[IQA4th.xls]ings_arsa_c_My__517"/>
      <sheetName val="[IQA4th.xls]ings_arsa_c_My__512"/>
      <sheetName val="[IQA4th.xls]ings_arsa_c_My__513"/>
      <sheetName val="[IQA4th.xls]ings_arsa_c_My__514"/>
      <sheetName val="??・??×?"/>
      <sheetName val="Compare"/>
      <sheetName val="[IQA4th.xls]ings_arsa_c_My__530"/>
      <sheetName val="[IQA4th.xls]ings_arsa_c_My__531"/>
      <sheetName val="[IQA4th.xls]ings_arsa_c_My__532"/>
      <sheetName val="[IQA4th.xls]ings_arsa_c_My__518"/>
      <sheetName val="[IQA4th.xls]ings_arsa_c_My__519"/>
      <sheetName val="[IQA4th.xls]ings_arsa_c_My__520"/>
      <sheetName val="[IQA4th.xls]ings_arsa_c_My__521"/>
      <sheetName val="[IQA4th.xls]ings_arsa_c_My__522"/>
      <sheetName val="[IQA4th.xls]ings_arsa_c_My__523"/>
      <sheetName val="[IQA4th.xls]ings_arsa_c_My__524"/>
      <sheetName val="[IQA4th.xls]ings_arsa_c_My__525"/>
      <sheetName val="[IQA4th.xls]ings_arsa_c_My__526"/>
      <sheetName val="[IQA4th.xls]ings_arsa_c_My__527"/>
      <sheetName val="[IQA4th.xls]ings_arsa_c_My__528"/>
      <sheetName val="[IQA4th.xls]ings_arsa_c_My__529"/>
      <sheetName val="[IQA4th.xls]ings_arsa_c_My__533"/>
      <sheetName val="[IQA4th.xls]ings_arsa_c_My__534"/>
      <sheetName val="[IQA4th.xls]ings_arsa_c_My__535"/>
      <sheetName val="[IQA4th.xls]ings_arsa_c_My__539"/>
      <sheetName val="[IQA4th.xls]ings_arsa_c_My__540"/>
      <sheetName val="[IQA4th.xls]ings_arsa_c_My__541"/>
      <sheetName val="[IQA4th.xls]ings_arsa_c_My__536"/>
      <sheetName val="[IQA4th.xls]ings_arsa_c_My__537"/>
      <sheetName val="[IQA4th.xls]ings_arsa_c_My__538"/>
      <sheetName val="[IQA4th.xls]ings_arsa_c_My__542"/>
      <sheetName val="[IQA4th.xls]ings_arsa_c_My__543"/>
      <sheetName val="[IQA4th.xls]ings_arsa_c_My__544"/>
      <sheetName val="[IQA4th.xls]ings_arsa_c_My__545"/>
      <sheetName val="[IQA4th.xls]ings_arsa_c_My__546"/>
      <sheetName val="[IQA4th.xls]ings_arsa_c_My__547"/>
      <sheetName val="[IQA4th.xls]ings_arsa_c_My__548"/>
      <sheetName val="[IQA4th.xls]ings_arsa_c_My__549"/>
      <sheetName val="[IQA4th.xls]ings_arsa_c_My__550"/>
      <sheetName val="[IQA4th.xls]ings_arsa_c_My__554"/>
      <sheetName val="[IQA4th.xls]ings_arsa_c_My__555"/>
      <sheetName val="[IQA4th.xls]ings_arsa_c_My__556"/>
      <sheetName val="[IQA4th.xls]ings_arsa_c_My__551"/>
      <sheetName val="[IQA4th.xls]ings_arsa_c_My__552"/>
      <sheetName val="[IQA4th.xls]ings_arsa_c_My__553"/>
      <sheetName val="[IQA4th.xls]ings_arsa_c_My__557"/>
      <sheetName val="[IQA4th.xls]ings_arsa_c_My__558"/>
      <sheetName val="[IQA4th.xls]ings_arsa_c_My__559"/>
      <sheetName val="[IQA4th.xls]ings_arsa_c_My__572"/>
      <sheetName val="[IQA4th.xls]ings_arsa_c_My__573"/>
      <sheetName val="[IQA4th.xls]ings_arsa_c_My__574"/>
      <sheetName val="[IQA4th.xls]ings_arsa_c_My__560"/>
      <sheetName val="[IQA4th.xls]ings_arsa_c_My__561"/>
      <sheetName val="[IQA4th.xls]ings_arsa_c_My__562"/>
      <sheetName val="[IQA4th.xls]ings_arsa_c_My__563"/>
      <sheetName val="[IQA4th.xls]ings_arsa_c_My__564"/>
      <sheetName val="[IQA4th.xls]ings_arsa_c_My__565"/>
      <sheetName val="[IQA4th.xls]ings_arsa_c_My__566"/>
      <sheetName val="[IQA4th.xls]ings_arsa_c_My__567"/>
      <sheetName val="[IQA4th.xls]ings_arsa_c_My__568"/>
      <sheetName val="[IQA4th.xls]ings_arsa_c_My__569"/>
      <sheetName val="[IQA4th.xls]ings_arsa_c_My__570"/>
      <sheetName val="[IQA4th.xls]ings_arsa_c_My__571"/>
      <sheetName val="[IQA4th.xls]ings_arsa_c_My__575"/>
      <sheetName val="[IQA4th.xls]ings_arsa_c_My__576"/>
      <sheetName val="[IQA4th.xls]ings_arsa_c_My__577"/>
      <sheetName val="[IQA4th.xls]ings_arsa_c_My__578"/>
      <sheetName val="[IQA4th.xls]ings_arsa_c_My__579"/>
      <sheetName val="[IQA4th.xls]ings_arsa_c_My__580"/>
      <sheetName val="[IQA4th.xls]ings_arsa_c_My__581"/>
      <sheetName val="[IQA4th.xls]ings_arsa_c_My__582"/>
      <sheetName val="[IQA4th.xls]ings_arsa_c_My__583"/>
      <sheetName val="[IQA4th.xls]ings_arsa_c_My__584"/>
      <sheetName val="[IQA4th.xls]ings_arsa_c_My__585"/>
      <sheetName val="[IQA4th.xls]ings_arsa_c_My__586"/>
      <sheetName val="[IQA4th.xls]ings_arsa_c_My__593"/>
      <sheetName val="[IQA4th.xls]ings_arsa_c_My__594"/>
      <sheetName val="[IQA4th.xls]ings_arsa_c_My__595"/>
      <sheetName val="[IQA4th.xls]ings_arsa_c_My__590"/>
      <sheetName val="[IQA4th.xls]ings_arsa_c_My__591"/>
      <sheetName val="[IQA4th.xls]ings_arsa_c_My__592"/>
      <sheetName val="[IQA4th.xls]ings_arsa_c_My__587"/>
      <sheetName val="[IQA4th.xls]ings_arsa_c_My__588"/>
      <sheetName val="[IQA4th.xls]ings_arsa_c_My__589"/>
      <sheetName val="[IQA4th.xls]ings_arsa_c_My__596"/>
      <sheetName val="[IQA4th.xls]ings_arsa_c_My__597"/>
      <sheetName val="[IQA4th.xls]ings_arsa_c_My__598"/>
      <sheetName val="[IQA4th.xls]ings_arsa_c_My__599"/>
      <sheetName val="[IQA4th.xls]ings_arsa_c_My__600"/>
      <sheetName val="[IQA4th.xls]ings_arsa_c_My__601"/>
      <sheetName val="[IQA4th.xls]ings_arsa_c_My__602"/>
      <sheetName val="[IQA4th.xls]ings_arsa_c_My__603"/>
      <sheetName val="[IQA4th.xls]ings_arsa_c_My__604"/>
      <sheetName val="[IQA4th.xls]ings_arsa_c_My__605"/>
      <sheetName val="[IQA4th.xls]ings_arsa_c_My__606"/>
      <sheetName val="[IQA4th.xls]ings_arsa_c_My__607"/>
      <sheetName val="[IQA4th.xls]ings_arsa_c_My__608"/>
      <sheetName val="[IQA4th.xls]ings_arsa_c_My__609"/>
      <sheetName val="[IQA4th.xls]ings_arsa_c_My__610"/>
      <sheetName val="[IQA4th.xls]ings_arsa_c_My__614"/>
      <sheetName val="[IQA4th.xls]ings_arsa_c_My__615"/>
      <sheetName val="[IQA4th.xls]ings_arsa_c_My__616"/>
      <sheetName val="[IQA4th.xls]ings_arsa_c_My__611"/>
      <sheetName val="[IQA4th.xls]ings_arsa_c_My__612"/>
      <sheetName val="[IQA4th.xls]ings_arsa_c_My__613"/>
      <sheetName val="[IQA4th.xls]ings_arsa_c_My__617"/>
      <sheetName val="[IQA4th.xls]ings_arsa_c_My__618"/>
      <sheetName val="[IQA4th.xls]ings_arsa_c_My__619"/>
      <sheetName val="[IQA4th.xls]ings_arsa_c_My__620"/>
      <sheetName val="[IQA4th.xls]ings_arsa_c_My__621"/>
      <sheetName val="[IQA4th.xls]ings_arsa_c_My__622"/>
      <sheetName val="[IQA4th.xls]ings_arsa_c_My__623"/>
      <sheetName val="[IQA4th.xls]ings_arsa_c_My__624"/>
      <sheetName val="[IQA4th.xls]ings_arsa_c_My__625"/>
      <sheetName val="[IQA4th.xls]ings_arsa_c_My__626"/>
      <sheetName val="[IQA4th.xls]ings_arsa_c_My__627"/>
      <sheetName val="[IQA4th.xls]ings_arsa_c_My__628"/>
      <sheetName val="[IQA4th.xls]ings_arsa_c_My__635"/>
      <sheetName val="[IQA4th.xls]ings_arsa_c_My__636"/>
      <sheetName val="[IQA4th.xls]ings_arsa_c_My__637"/>
      <sheetName val="[IQA4th.xls]ings_arsa_c_My__629"/>
      <sheetName val="[IQA4th.xls]ings_arsa_c_My__630"/>
      <sheetName val="[IQA4th.xls]ings_arsa_c_My__631"/>
      <sheetName val="[IQA4th.xls]ings_arsa_c_My__632"/>
      <sheetName val="[IQA4th.xls]ings_arsa_c_My__633"/>
      <sheetName val="[IQA4th.xls]ings_arsa_c_My__634"/>
      <sheetName val="[IQA4th.xls]ings_arsa_c_My__638"/>
      <sheetName val="[IQA4th.xls]ings_arsa_c_My__639"/>
      <sheetName val="[IQA4th.xls]ings_arsa_c_My__640"/>
      <sheetName val="[IQA4th.xls]ings_arsa_c_My__647"/>
      <sheetName val="[IQA4th.xls]ings_arsa_c_My__648"/>
      <sheetName val="[IQA4th.xls]ings_arsa_c_My__649"/>
      <sheetName val="[IQA4th.xls]ings_arsa_c_My__644"/>
      <sheetName val="[IQA4th.xls]ings_arsa_c_My__645"/>
      <sheetName val="[IQA4th.xls]ings_arsa_c_My__646"/>
      <sheetName val="[IQA4th.xls]ings_arsa_c_My__641"/>
      <sheetName val="[IQA4th.xls]ings_arsa_c_My__642"/>
      <sheetName val="[IQA4th.xls]ings_arsa_c_My__643"/>
      <sheetName val="[IQA4th.xls]ings_arsa_c_My__650"/>
      <sheetName val="[IQA4th.xls]ings_arsa_c_My__651"/>
      <sheetName val="[IQA4th.xls]ings_arsa_c_My__652"/>
      <sheetName val="[IQA4th.xls]ings_arsa_c_My__653"/>
      <sheetName val="[IQA4th.xls]ings_arsa_c_My__654"/>
      <sheetName val="[IQA4th.xls]ings_arsa_c_My__655"/>
      <sheetName val="[IQA4th.xls]ings_arsa_c_My__689"/>
      <sheetName val="[IQA4th.xls]ings_arsa_c_My__690"/>
      <sheetName val="[IQA4th.xls]ings_arsa_c_My__691"/>
      <sheetName val="[IQA4th.xls]ings_arsa_c_My__686"/>
      <sheetName val="[IQA4th.xls]ings_arsa_c_My__687"/>
      <sheetName val="[IQA4th.xls]ings_arsa_c_My__688"/>
      <sheetName val="[IQA4th.xls]ings_arsa_c_My__677"/>
      <sheetName val="[IQA4th.xls]ings_arsa_c_My__678"/>
      <sheetName val="[IQA4th.xls]ings_arsa_c_My__679"/>
      <sheetName val="[IQA4th.xls]ings_arsa_c_My__674"/>
      <sheetName val="[IQA4th.xls]ings_arsa_c_My__675"/>
      <sheetName val="[IQA4th.xls]ings_arsa_c_My__676"/>
      <sheetName val="[IQA4th.xls]ings_arsa_c_My__656"/>
      <sheetName val="[IQA4th.xls]ings_arsa_c_My__657"/>
      <sheetName val="[IQA4th.xls]ings_arsa_c_My__658"/>
      <sheetName val="[IQA4th.xls]ings_arsa_c_My__659"/>
      <sheetName val="[IQA4th.xls]ings_arsa_c_My__660"/>
      <sheetName val="[IQA4th.xls]ings_arsa_c_My__661"/>
      <sheetName val="[IQA4th.xls]ings_arsa_c_My__662"/>
      <sheetName val="[IQA4th.xls]ings_arsa_c_My__663"/>
      <sheetName val="[IQA4th.xls]ings_arsa_c_My__664"/>
      <sheetName val="[IQA4th.xls]ings_arsa_c_My__665"/>
      <sheetName val="[IQA4th.xls]ings_arsa_c_My__666"/>
      <sheetName val="[IQA4th.xls]ings_arsa_c_My__667"/>
      <sheetName val="[IQA4th.xls]ings_arsa_c_My__668"/>
      <sheetName val="[IQA4th.xls]ings_arsa_c_My__669"/>
      <sheetName val="[IQA4th.xls]ings_arsa_c_My__672"/>
      <sheetName val="[IQA4th.xls]ings_arsa_c_My__673"/>
      <sheetName val="[IQA4th.xls]ings_arsa_c_My__670"/>
      <sheetName val="[IQA4th.xls]ings_arsa_c_My__671"/>
      <sheetName val="[IQA4th.xls]ings_arsa_c_My__680"/>
      <sheetName val="[IQA4th.xls]ings_arsa_c_My__681"/>
      <sheetName val="[IQA4th.xls]ings_arsa_c_My__682"/>
      <sheetName val="[IQA4th.xls]ings_arsa_c_My__683"/>
      <sheetName val="[IQA4th.xls]ings_arsa_c_My__684"/>
      <sheetName val="[IQA4th.xls]ings_arsa_c_My__685"/>
      <sheetName val="[IQA4th.xls]ings_arsa_c_My__695"/>
      <sheetName val="[IQA4th.xls]ings_arsa_c_My__696"/>
      <sheetName val="[IQA4th.xls]ings_arsa_c_My__697"/>
      <sheetName val="[IQA4th.xls]ings_arsa_c_My__701"/>
      <sheetName val="[IQA4th.xls]ings_arsa_c_My__702"/>
      <sheetName val="[IQA4th.xls]ings_arsa_c_My__703"/>
      <sheetName val="[IQA4th.xls]ings_arsa_c_My__698"/>
      <sheetName val="[IQA4th.xls]ings_arsa_c_My__699"/>
      <sheetName val="[IQA4th.xls]ings_arsa_c_My__700"/>
      <sheetName val="[IQA4th.xls]ings_arsa_c_My__704"/>
      <sheetName val="[IQA4th.xls]ings_arsa_c_My__705"/>
      <sheetName val="[IQA4th.xls]ings_arsa_c_My__706"/>
      <sheetName val="[IQA4th.xls]ings_arsa_c_My__707"/>
      <sheetName val="[IQA4th.xls]ings_arsa_c_My__708"/>
      <sheetName val="[IQA4th.xls]ings_arsa_c_My__709"/>
      <sheetName val="グラフ用DATA"/>
      <sheetName val="ﾗｲﾝ別ｸﾞﾗﾌ"/>
      <sheetName val="台数"/>
      <sheetName val="全体ｸﾞﾗﾌ"/>
      <sheetName val="[IQA4th.xls]ings_arsa_c_My__767"/>
      <sheetName val="[IQA4th.xls]ings_arsa_c_My__768"/>
      <sheetName val="[IQA4th.xls]ings_arsa_c_My__769"/>
      <sheetName val="[IQA4th.xls]ings_arsa_c_My__710"/>
      <sheetName val="[IQA4th.xls]ings_arsa_c_My__711"/>
      <sheetName val="[IQA4th.xls]ings_arsa_c_My__712"/>
      <sheetName val="[IQA4th.xls]ings_arsa_c_My__713"/>
      <sheetName val="[IQA4th.xls]ings_arsa_c_My__714"/>
      <sheetName val="[IQA4th.xls]ings_arsa_c_My__715"/>
      <sheetName val="[IQA4th.xls]ings_arsa_c_My__716"/>
      <sheetName val="[IQA4th.xls]ings_arsa_c_My__717"/>
      <sheetName val="[IQA4th.xls]ings_arsa_c_My__718"/>
      <sheetName val="[IQA4th.xls]ings_arsa_c_My__719"/>
      <sheetName val="[IQA4th.xls]ings_arsa_c_My__720"/>
      <sheetName val="[IQA4th.xls]ings_arsa_c_My__721"/>
      <sheetName val="[IQA4th.xls]ings_arsa_c_My__722"/>
      <sheetName val="[IQA4th.xls]ings_arsa_c_My__723"/>
      <sheetName val="[IQA4th.xls]ings_arsa_c_My__724"/>
      <sheetName val="[IQA4th.xls]ings_arsa_c_My__728"/>
      <sheetName val="[IQA4th.xls]ings_arsa_c_My__729"/>
      <sheetName val="[IQA4th.xls]ings_arsa_c_My__730"/>
      <sheetName val="[IQA4th.xls]ings_arsa_c_My__725"/>
      <sheetName val="[IQA4th.xls]ings_arsa_c_My__726"/>
      <sheetName val="[IQA4th.xls]ings_arsa_c_My__727"/>
      <sheetName val="[IQA4th.xls]ings_arsa_c_My__731"/>
      <sheetName val="[IQA4th.xls]ings_arsa_c_My__732"/>
      <sheetName val="[IQA4th.xls]ings_arsa_c_My__733"/>
      <sheetName val="[IQA4th.xls]ings_arsa_c_My__734"/>
      <sheetName val="[IQA4th.xls]ings_arsa_c_My__735"/>
      <sheetName val="[IQA4th.xls]ings_arsa_c_My__736"/>
      <sheetName val="[IQA4th.xls]ings_arsa_c_My__737"/>
      <sheetName val="[IQA4th.xls]ings_arsa_c_My__738"/>
      <sheetName val="[IQA4th.xls]ings_arsa_c_My__739"/>
      <sheetName val="[IQA4th.xls]ings_arsa_c_My__743"/>
      <sheetName val="[IQA4th.xls]ings_arsa_c_My__744"/>
      <sheetName val="[IQA4th.xls]ings_arsa_c_My__745"/>
      <sheetName val="[IQA4th.xls]ings_arsa_c_My__740"/>
      <sheetName val="[IQA4th.xls]ings_arsa_c_My__741"/>
      <sheetName val="[IQA4th.xls]ings_arsa_c_My__742"/>
      <sheetName val="[IQA4th.xls]ings_arsa_c_My__746"/>
      <sheetName val="[IQA4th.xls]ings_arsa_c_My__747"/>
      <sheetName val="[IQA4th.xls]ings_arsa_c_My__748"/>
      <sheetName val="[IQA4th.xls]ings_arsa_c_My__749"/>
      <sheetName val="[IQA4th.xls]ings_arsa_c_My__750"/>
      <sheetName val="[IQA4th.xls]ings_arsa_c_My__751"/>
      <sheetName val="[IQA4th.xls]ings_arsa_c_My__755"/>
      <sheetName val="[IQA4th.xls]ings_arsa_c_My__756"/>
      <sheetName val="[IQA4th.xls]ings_arsa_c_My__757"/>
      <sheetName val="[IQA4th.xls]ings_arsa_c_My__752"/>
      <sheetName val="[IQA4th.xls]ings_arsa_c_My__753"/>
      <sheetName val="[IQA4th.xls]ings_arsa_c_My__754"/>
      <sheetName val="[IQA4th.xls]ings_arsa_c_My__758"/>
      <sheetName val="[IQA4th.xls]ings_arsa_c_My__759"/>
      <sheetName val="[IQA4th.xls]ings_arsa_c_My__760"/>
      <sheetName val="[IQA4th.xls]ings_arsa_c_My__761"/>
      <sheetName val="[IQA4th.xls]ings_arsa_c_My__762"/>
      <sheetName val="[IQA4th.xls]ings_arsa_c_My__763"/>
      <sheetName val="[IQA4th.xls]ings_arsa_c_My__764"/>
      <sheetName val="[IQA4th.xls]ings_arsa_c_My__765"/>
      <sheetName val="[IQA4th.xls]ings_arsa_c_My__766"/>
      <sheetName val="[IQA4th.xls]ings_arsa_c_My__770"/>
      <sheetName val="[IQA4th.xls]ings_arsa_c_My__771"/>
      <sheetName val="[IQA4th.xls]ings_arsa_c_My__772"/>
      <sheetName val="[IQA4th.xls]ings_arsa_c_My__968"/>
      <sheetName val="[IQA4th.xls]ings_arsa_c_My__969"/>
      <sheetName val="[IQA4th.xls]ings_arsa_c_My__970"/>
      <sheetName val="[IQA4th.xls]ings_arsa_c_My__773"/>
      <sheetName val="[IQA4th.xls]ings_arsa_c_My__774"/>
      <sheetName val="[IQA4th.xls]ings_arsa_c_My__775"/>
      <sheetName val="[IQA4th.xls]ings_arsa_c_My__779"/>
      <sheetName val="[IQA4th.xls]ings_arsa_c_My__780"/>
      <sheetName val="[IQA4th.xls]ings_arsa_c_My__781"/>
      <sheetName val="[IQA4th.xls]ings_arsa_c_My__776"/>
      <sheetName val="[IQA4th.xls]ings_arsa_c_My__777"/>
      <sheetName val="[IQA4th.xls]ings_arsa_c_My__778"/>
      <sheetName val="[IQA4th.xls]ings_arsa_c_My__788"/>
      <sheetName val="[IQA4th.xls]ings_arsa_c_My__789"/>
      <sheetName val="[IQA4th.xls]ings_arsa_c_My__790"/>
      <sheetName val="[IQA4th.xls]ings_arsa_c_My__782"/>
      <sheetName val="[IQA4th.xls]ings_arsa_c_My__783"/>
      <sheetName val="[IQA4th.xls]ings_arsa_c_My__784"/>
      <sheetName val="[IQA4th.xls]ings_arsa_c_My__785"/>
      <sheetName val="[IQA4th.xls]ings_arsa_c_My__786"/>
      <sheetName val="[IQA4th.xls]ings_arsa_c_My__787"/>
      <sheetName val="[IQA4th.xls]ings_arsa_c_My__791"/>
      <sheetName val="[IQA4th.xls]ings_arsa_c_My__792"/>
      <sheetName val="[IQA4th.xls]ings_arsa_c_My__793"/>
      <sheetName val="[IQA4th.xls]ings_arsa_c_My__794"/>
      <sheetName val="[IQA4th.xls]ings_arsa_c_My__795"/>
      <sheetName val="[IQA4th.xls]ings_arsa_c_My__796"/>
      <sheetName val="[IQA4th.xls]ings_arsa_c_My__797"/>
      <sheetName val="[IQA4th.xls]ings_arsa_c_My__798"/>
      <sheetName val="[IQA4th.xls]ings_arsa_c_My__799"/>
      <sheetName val="[IQA4th.xls]ings_arsa_c_My__962"/>
      <sheetName val="[IQA4th.xls]ings_arsa_c_My__963"/>
      <sheetName val="[IQA4th.xls]ings_arsa_c_My__964"/>
      <sheetName val="[IQA4th.xls]ings_arsa_c_My__866"/>
      <sheetName val="[IQA4th.xls]ings_arsa_c_My__867"/>
      <sheetName val="[IQA4th.xls]ings_arsa_c_My__868"/>
      <sheetName val="[IQA4th.xls]ings_arsa_c_My__854"/>
      <sheetName val="[IQA4th.xls]ings_arsa_c_My__855"/>
      <sheetName val="[IQA4th.xls]ings_arsa_c_My__856"/>
      <sheetName val="[IQA4th.xls]ings_arsa_c_My__806"/>
      <sheetName val="[IQA4th.xls]ings_arsa_c_My__807"/>
      <sheetName val="[IQA4th.xls]ings_arsa_c_My__808"/>
      <sheetName val="[IQA4th.xls]ings_arsa_c_My__803"/>
      <sheetName val="[IQA4th.xls]ings_arsa_c_My__804"/>
      <sheetName val="[IQA4th.xls]ings_arsa_c_My__805"/>
      <sheetName val="[IQA4th.xls]ings_arsa_c_My__800"/>
      <sheetName val="[IQA4th.xls]ings_arsa_c_My__801"/>
      <sheetName val="[IQA4th.xls]ings_arsa_c_My__802"/>
      <sheetName val="[IQA4th.xls]ings_arsa_c_My__809"/>
      <sheetName val="[IQA4th.xls]ings_arsa_c_My__810"/>
      <sheetName val="[IQA4th.xls]ings_arsa_c_My__811"/>
      <sheetName val="[IQA4th.xls]ings_arsa_c_My__815"/>
      <sheetName val="[IQA4th.xls]ings_arsa_c_My__816"/>
      <sheetName val="[IQA4th.xls]ings_arsa_c_My__817"/>
      <sheetName val="[IQA4th.xls]ings_arsa_c_My__812"/>
      <sheetName val="[IQA4th.xls]ings_arsa_c_My__813"/>
      <sheetName val="[IQA4th.xls]ings_arsa_c_My__814"/>
      <sheetName val="[IQA4th.xls]ings_arsa_c_My__818"/>
      <sheetName val="[IQA4th.xls]ings_arsa_c_My__819"/>
      <sheetName val="[IQA4th.xls]ings_arsa_c_My__820"/>
      <sheetName val="[IQA4th.xls]ings_arsa_c_My__821"/>
      <sheetName val="[IQA4th.xls]ings_arsa_c_My__822"/>
      <sheetName val="[IQA4th.xls]ings_arsa_c_My__823"/>
      <sheetName val="[IQA4th.xls]ings_arsa_c_My__833"/>
      <sheetName val="[IQA4th.xls]ings_arsa_c_My__834"/>
      <sheetName val="[IQA4th.xls]ings_arsa_c_My__835"/>
      <sheetName val="[IQA4th.xls]ings_arsa_c_My__824"/>
      <sheetName val="[IQA4th.xls]ings_arsa_c_My__825"/>
      <sheetName val="[IQA4th.xls]ings_arsa_c_My__826"/>
      <sheetName val="[IQA4th.xls]ings_arsa_c_My__827"/>
      <sheetName val="[IQA4th.xls]ings_arsa_c_My__828"/>
      <sheetName val="[IQA4th.xls]ings_arsa_c_My__829"/>
      <sheetName val="[IQA4th.xls]ings_arsa_c_My__830"/>
      <sheetName val="[IQA4th.xls]ings_arsa_c_My__831"/>
      <sheetName val="[IQA4th.xls]ings_arsa_c_My__832"/>
      <sheetName val="[IQA4th.xls]ings_arsa_c_My__836"/>
      <sheetName val="[IQA4th.xls]ings_arsa_c_My__837"/>
      <sheetName val="[IQA4th.xls]ings_arsa_c_My__838"/>
      <sheetName val="[IQA4th.xls]ings_arsa_c_My__839"/>
      <sheetName val="[IQA4th.xls]ings_arsa_c_My__840"/>
      <sheetName val="[IQA4th.xls]ings_arsa_c_My__841"/>
      <sheetName val="[IQA4th.xls]ings_arsa_c_My__848"/>
      <sheetName val="[IQA4th.xls]ings_arsa_c_My__849"/>
      <sheetName val="[IQA4th.xls]ings_arsa_c_My__850"/>
      <sheetName val="[IQA4th.xls]ings_arsa_c_My__845"/>
      <sheetName val="[IQA4th.xls]ings_arsa_c_My__846"/>
      <sheetName val="[IQA4th.xls]ings_arsa_c_My__847"/>
      <sheetName val="[IQA4th.xls]ings_arsa_c_My__842"/>
      <sheetName val="[IQA4th.xls]ings_arsa_c_My__843"/>
      <sheetName val="[IQA4th.xls]ings_arsa_c_My__844"/>
      <sheetName val="[IQA4th.xls]ings_arsa_c_My__851"/>
      <sheetName val="[IQA4th.xls]ings_arsa_c_My__852"/>
      <sheetName val="[IQA4th.xls]ings_arsa_c_My__853"/>
      <sheetName val="[IQA4th.xls]ings_arsa_c_My__863"/>
      <sheetName val="[IQA4th.xls]ings_arsa_c_My__864"/>
      <sheetName val="[IQA4th.xls]ings_arsa_c_My__865"/>
      <sheetName val="[IQA4th.xls]ings_arsa_c_My__860"/>
      <sheetName val="[IQA4th.xls]ings_arsa_c_My__861"/>
      <sheetName val="[IQA4th.xls]ings_arsa_c_My__862"/>
      <sheetName val="[IQA4th.xls]ings_arsa_c_My__857"/>
      <sheetName val="[IQA4th.xls]ings_arsa_c_My__858"/>
      <sheetName val="[IQA4th.xls]ings_arsa_c_My__859"/>
      <sheetName val="[IQA4th.xls]ings_arsa_c_My__884"/>
      <sheetName val="[IQA4th.xls]ings_arsa_c_My__885"/>
      <sheetName val="[IQA4th.xls]ings_arsa_c_My__886"/>
      <sheetName val="[IQA4th.xls]ings_arsa_c_My__872"/>
      <sheetName val="[IQA4th.xls]ings_arsa_c_My__873"/>
      <sheetName val="[IQA4th.xls]ings_arsa_c_My__874"/>
      <sheetName val="[IQA4th.xls]ings_arsa_c_My__869"/>
      <sheetName val="[IQA4th.xls]ings_arsa_c_My__870"/>
      <sheetName val="[IQA4th.xls]ings_arsa_c_My__871"/>
      <sheetName val="[IQA4th.xls]ings_arsa_c_My__881"/>
      <sheetName val="[IQA4th.xls]ings_arsa_c_My__882"/>
      <sheetName val="[IQA4th.xls]ings_arsa_c_My__883"/>
      <sheetName val="[IQA4th.xls]ings_arsa_c_My__878"/>
      <sheetName val="[IQA4th.xls]ings_arsa_c_My__879"/>
      <sheetName val="[IQA4th.xls]ings_arsa_c_My__880"/>
      <sheetName val="[IQA4th.xls]ings_arsa_c_My__875"/>
      <sheetName val="[IQA4th.xls]ings_arsa_c_My__876"/>
      <sheetName val="[IQA4th.xls]ings_arsa_c_My__877"/>
      <sheetName val="[IQA4th.xls]ings_arsa_c_My__887"/>
      <sheetName val="[IQA4th.xls]ings_arsa_c_My__888"/>
      <sheetName val="[IQA4th.xls]ings_arsa_c_My__889"/>
      <sheetName val="[IQA4th.xls]ings_arsa_c_My__890"/>
      <sheetName val="[IQA4th.xls]ings_arsa_c_My__891"/>
      <sheetName val="[IQA4th.xls]ings_arsa_c_My__892"/>
      <sheetName val="[IQA4th.xls]ings_arsa_c_My__902"/>
      <sheetName val="[IQA4th.xls]ings_arsa_c_My__903"/>
      <sheetName val="[IQA4th.xls]ings_arsa_c_My__904"/>
      <sheetName val="[IQA4th.xls]ings_arsa_c_My__896"/>
      <sheetName val="[IQA4th.xls]ings_arsa_c_My__897"/>
      <sheetName val="[IQA4th.xls]ings_arsa_c_My__898"/>
      <sheetName val="[IQA4th.xls]ings_arsa_c_My__893"/>
      <sheetName val="[IQA4th.xls]ings_arsa_c_My__894"/>
      <sheetName val="[IQA4th.xls]ings_arsa_c_My__895"/>
      <sheetName val="[IQA4th.xls]ings_arsa_c_My__899"/>
      <sheetName val="[IQA4th.xls]ings_arsa_c_My__900"/>
      <sheetName val="[IQA4th.xls]ings_arsa_c_My__901"/>
      <sheetName val="[IQA4th.xls]ings_arsa_c_My__905"/>
      <sheetName val="[IQA4th.xls]ings_arsa_c_My__906"/>
      <sheetName val="[IQA4th.xls]ings_arsa_c_My__907"/>
      <sheetName val="[IQA4th.xls]ings_arsa_c_My__911"/>
      <sheetName val="[IQA4th.xls]ings_arsa_c_My__912"/>
      <sheetName val="[IQA4th.xls]ings_arsa_c_My__913"/>
      <sheetName val="[IQA4th.xls]ings_arsa_c_My__908"/>
      <sheetName val="[IQA4th.xls]ings_arsa_c_My__909"/>
      <sheetName val="[IQA4th.xls]ings_arsa_c_My__910"/>
      <sheetName val="[IQA4th.xls]ings_arsa_c_My__920"/>
      <sheetName val="[IQA4th.xls]ings_arsa_c_My__921"/>
      <sheetName val="[IQA4th.xls]ings_arsa_c_My__922"/>
      <sheetName val="[IQA4th.xls]ings_arsa_c_My__917"/>
      <sheetName val="[IQA4th.xls]ings_arsa_c_My__918"/>
      <sheetName val="[IQA4th.xls]ings_arsa_c_My__919"/>
      <sheetName val="[IQA4th.xls]ings_arsa_c_My__914"/>
      <sheetName val="[IQA4th.xls]ings_arsa_c_My__915"/>
      <sheetName val="[IQA4th.xls]ings_arsa_c_My__916"/>
      <sheetName val="[IQA4th.xls]ings_arsa_c_My__923"/>
      <sheetName val="[IQA4th.xls]ings_arsa_c_My__924"/>
      <sheetName val="[IQA4th.xls]ings_arsa_c_My__925"/>
      <sheetName val="[IQA4th.xls]ings_arsa_c_My__926"/>
      <sheetName val="[IQA4th.xls]ings_arsa_c_My__927"/>
      <sheetName val="[IQA4th.xls]ings_arsa_c_My__928"/>
      <sheetName val="[IQA4th.xls]ings_arsa_c_My__929"/>
      <sheetName val="[IQA4th.xls]ings_arsa_c_My__930"/>
      <sheetName val="[IQA4th.xls]ings_arsa_c_My__931"/>
      <sheetName val="[IQA4th.xls]ings_arsa_c_My__932"/>
      <sheetName val="[IQA4th.xls]ings_arsa_c_My__933"/>
      <sheetName val="[IQA4th.xls]ings_arsa_c_My__934"/>
      <sheetName val="[IQA4th.xls]ings_arsa_c_My__935"/>
      <sheetName val="[IQA4th.xls]ings_arsa_c_My__936"/>
      <sheetName val="[IQA4th.xls]ings_arsa_c_My__937"/>
      <sheetName val="Formular"/>
      <sheetName val="[IQA4th.xls]ings_arsa_c_My__938"/>
      <sheetName val="[IQA4th.xls]ings_arsa_c_My__939"/>
      <sheetName val="[IQA4th.xls]ings_arsa_c_My__940"/>
      <sheetName val="[IQA4th.xls]ings_arsa_c_My__941"/>
      <sheetName val="[IQA4th.xls]ings_arsa_c_My__942"/>
      <sheetName val="[IQA4th.xls]ings_arsa_c_My__943"/>
      <sheetName val="[IQA4th.xls]ings_arsa_c_My__950"/>
      <sheetName val="[IQA4th.xls]ings_arsa_c_My__951"/>
      <sheetName val="[IQA4th.xls]ings_arsa_c_My__952"/>
      <sheetName val="[IQA4th.xls]ings_arsa_c_My__947"/>
      <sheetName val="[IQA4th.xls]ings_arsa_c_My__948"/>
      <sheetName val="[IQA4th.xls]ings_arsa_c_My__949"/>
      <sheetName val="[IQA4th.xls]ings_arsa_c_My__944"/>
      <sheetName val="[IQA4th.xls]ings_arsa_c_My__945"/>
      <sheetName val="[IQA4th.xls]ings_arsa_c_My__946"/>
      <sheetName val="[IQA4th.xls]ings_arsa_c_My__953"/>
      <sheetName val="[IQA4th.xls]ings_arsa_c_My__954"/>
      <sheetName val="[IQA4th.xls]ings_arsa_c_My__955"/>
      <sheetName val="[IQA4th.xls]ings_arsa_c_My__956"/>
      <sheetName val="[IQA4th.xls]ings_arsa_c_My__957"/>
      <sheetName val="[IQA4th.xls]ings_arsa_c_My__958"/>
      <sheetName val="[IQA4th.xls]ings_arsa_c_My__959"/>
      <sheetName val="[IQA4th.xls]ings_arsa_c_My__960"/>
      <sheetName val="[IQA4th.xls]ings_arsa_c_My__961"/>
      <sheetName val="[IQA4th.xls]ings_arsa_c_My__965"/>
      <sheetName val="[IQA4th.xls]ings_arsa_c_My__966"/>
      <sheetName val="[IQA4th.xls]ings_arsa_c_My__967"/>
      <sheetName val="[IQA4th.xls]ings_arsa_c_My_1028"/>
      <sheetName val="[IQA4th.xls]ings_arsa_c_My_1029"/>
      <sheetName val="[IQA4th.xls]ings_arsa_c_My_1030"/>
      <sheetName val="[IQA4th.xls]ings_arsa_c_My__977"/>
      <sheetName val="[IQA4th.xls]ings_arsa_c_My__978"/>
      <sheetName val="[IQA4th.xls]ings_arsa_c_My__979"/>
      <sheetName val="[IQA4th.xls]ings_arsa_c_My__974"/>
      <sheetName val="[IQA4th.xls]ings_arsa_c_My__975"/>
      <sheetName val="[IQA4th.xls]ings_arsa_c_My__976"/>
      <sheetName val="[IQA4th.xls]ings_arsa_c_My__971"/>
      <sheetName val="[IQA4th.xls]ings_arsa_c_My__972"/>
      <sheetName val="[IQA4th.xls]ings_arsa_c_My__973"/>
      <sheetName val="[IQA4th.xls]ings_arsa_c_My__980"/>
      <sheetName val="[IQA4th.xls]ings_arsa_c_My__981"/>
      <sheetName val="[IQA4th.xls]ings_arsa_c_My__982"/>
      <sheetName val="[IQA4th.xls]ings_arsa_c_My__983"/>
      <sheetName val="[IQA4th.xls]ings_arsa_c_My__984"/>
      <sheetName val="[IQA4th.xls]ings_arsa_c_My__985"/>
      <sheetName val="[IQA4th.xls]ings_arsa_c_My__989"/>
      <sheetName val="[IQA4th.xls]ings_arsa_c_My__990"/>
      <sheetName val="[IQA4th.xls]ings_arsa_c_My__991"/>
      <sheetName val="[IQA4th.xls]ings_arsa_c_My__986"/>
      <sheetName val="[IQA4th.xls]ings_arsa_c_My__987"/>
      <sheetName val="[IQA4th.xls]ings_arsa_c_My__988"/>
      <sheetName val="[IQA4th.xls]ings_arsa_c_My__992"/>
      <sheetName val="[IQA4th.xls]ings_arsa_c_My__993"/>
      <sheetName val="[IQA4th.xls]ings_arsa_c_My__994"/>
      <sheetName val="[IQA4th.xls]ings_arsa_c_My__995"/>
      <sheetName val="[IQA4th.xls]ings_arsa_c_My__996"/>
      <sheetName val="[IQA4th.xls]ings_arsa_c_My__997"/>
      <sheetName val="[IQA4th.xls]ings_arsa_c_My_1004"/>
      <sheetName val="[IQA4th.xls]ings_arsa_c_My_1005"/>
      <sheetName val="[IQA4th.xls]ings_arsa_c_My_1006"/>
      <sheetName val="[IQA4th.xls]ings_arsa_c_My__998"/>
      <sheetName val="[IQA4th.xls]ings_arsa_c_My__999"/>
      <sheetName val="[IQA4th.xls]ings_arsa_c_My_1000"/>
      <sheetName val="[IQA4th.xls]ings_arsa_c_My_1001"/>
      <sheetName val="[IQA4th.xls]ings_arsa_c_My_1002"/>
      <sheetName val="[IQA4th.xls]ings_arsa_c_My_1003"/>
      <sheetName val="[IQA4th.xls]ings_arsa_c_My_1007"/>
      <sheetName val="[IQA4th.xls]ings_arsa_c_My_1008"/>
      <sheetName val="[IQA4th.xls]ings_arsa_c_My_1009"/>
      <sheetName val="[IQA4th.xls]ings_arsa_c_My_1010"/>
      <sheetName val="[IQA4th.xls]ings_arsa_c_My_1011"/>
      <sheetName val="[IQA4th.xls]ings_arsa_c_My_1012"/>
      <sheetName val="[IQA4th.xls]ings_arsa_c_My_1013"/>
      <sheetName val="[IQA4th.xls]ings_arsa_c_My_1014"/>
      <sheetName val="[IQA4th.xls]ings_arsa_c_My_1015"/>
      <sheetName val="[IQA4th.xls]ings_arsa_c_My_1019"/>
      <sheetName val="[IQA4th.xls]ings_arsa_c_My_1020"/>
      <sheetName val="[IQA4th.xls]ings_arsa_c_My_1021"/>
      <sheetName val="[IQA4th.xls]ings_arsa_c_My_1016"/>
      <sheetName val="[IQA4th.xls]ings_arsa_c_My_1017"/>
      <sheetName val="[IQA4th.xls]ings_arsa_c_My_1018"/>
      <sheetName val="[IQA4th.xls]ings_arsa_c_My_1022"/>
      <sheetName val="[IQA4th.xls]ings_arsa_c_My_1023"/>
      <sheetName val="[IQA4th.xls]ings_arsa_c_My_1024"/>
      <sheetName val="[IQA4th.xls]ings_arsa_c_My_1025"/>
      <sheetName val="[IQA4th.xls]ings_arsa_c_My_1026"/>
      <sheetName val="[IQA4th.xls]ings_arsa_c_My_1027"/>
      <sheetName val="[IQA4th.xls]ings_arsa_c_My_1034"/>
      <sheetName val="[IQA4th.xls]ings_arsa_c_My_1035"/>
      <sheetName val="[IQA4th.xls]ings_arsa_c_My_1036"/>
      <sheetName val="[IQA4th.xls]ings_arsa_c_My_1031"/>
      <sheetName val="[IQA4th.xls]ings_arsa_c_My_1032"/>
      <sheetName val="[IQA4th.xls]ings_arsa_c_My_1033"/>
      <sheetName val="[IQA4th.xls]ings_arsa_c_My_1040"/>
      <sheetName val="[IQA4th.xls]ings_arsa_c_My_1041"/>
      <sheetName val="[IQA4th.xls]ings_arsa_c_My_1042"/>
      <sheetName val="[IQA4th.xls]ings_arsa_c_My_1037"/>
      <sheetName val="[IQA4th.xls]ings_arsa_c_My_1038"/>
      <sheetName val="[IQA4th.xls]ings_arsa_c_My_1039"/>
      <sheetName val="[IQA4th.xls]ings_arsa_c_My_1043"/>
      <sheetName val="[IQA4th.xls]ings_arsa_c_My_1044"/>
      <sheetName val="[IQA4th.xls]ings_arsa_c_My_1045"/>
      <sheetName val="[IQA4th.xls]ings_arsa_c_My_1049"/>
      <sheetName val="[IQA4th.xls]ings_arsa_c_My_1050"/>
      <sheetName val="[IQA4th.xls]ings_arsa_c_My_1051"/>
      <sheetName val="[IQA4th.xls]ings_arsa_c_My_1046"/>
      <sheetName val="[IQA4th.xls]ings_arsa_c_My_1047"/>
      <sheetName val="[IQA4th.xls]ings_arsa_c_My_1048"/>
      <sheetName val="[IQA4th.xls]ings_arsa_c_My_1052"/>
      <sheetName val="[IQA4th.xls]ings_arsa_c_My_1053"/>
      <sheetName val="[IQA4th.xls]ings_arsa_c_My_1054"/>
      <sheetName val="[IQA4th.xls]ings_arsa_c_My_1055"/>
      <sheetName val="[IQA4th.xls]ings_arsa_c_My_1056"/>
      <sheetName val="[IQA4th.xls]ings_arsa_c_My_1057"/>
      <sheetName val="[IQA4th.xls]ings_arsa_c_My_1058"/>
      <sheetName val="[IQA4th.xls]ings_arsa_c_My_1059"/>
      <sheetName val="[IQA4th.xls]ings_arsa_c_My_1060"/>
      <sheetName val="[IQA4th.xls]ings_arsa_c_My_1100"/>
      <sheetName val="[IQA4th.xls]ings_arsa_c_My_1101"/>
      <sheetName val="[IQA4th.xls]ings_arsa_c_My_1102"/>
      <sheetName val="[IQA4th.xls]ings_arsa_c_My_1067"/>
      <sheetName val="[IQA4th.xls]ings_arsa_c_My_1068"/>
      <sheetName val="[IQA4th.xls]ings_arsa_c_My_1069"/>
      <sheetName val="[IQA4th.xls]ings_arsa_c_My_1061"/>
      <sheetName val="[IQA4th.xls]ings_arsa_c_My_1062"/>
      <sheetName val="[IQA4th.xls]ings_arsa_c_My_1063"/>
      <sheetName val="[IQA4th.xls]ings_arsa_c_My_1064"/>
      <sheetName val="[IQA4th.xls]ings_arsa_c_My_1065"/>
      <sheetName val="[IQA4th.xls]ings_arsa_c_My_1066"/>
      <sheetName val="[IQA4th.xls]ings_arsa_c_My_1070"/>
      <sheetName val="[IQA4th.xls]ings_arsa_c_My_1071"/>
      <sheetName val="[IQA4th.xls]ings_arsa_c_My_1072"/>
      <sheetName val="[IQA4th.xls]ings_arsa_c_My_1076"/>
      <sheetName val="[IQA4th.xls]ings_arsa_c_My_1077"/>
      <sheetName val="[IQA4th.xls]ings_arsa_c_My_1078"/>
      <sheetName val="[IQA4th.xls]ings_arsa_c_My_1073"/>
      <sheetName val="[IQA4th.xls]ings_arsa_c_My_1074"/>
      <sheetName val="[IQA4th.xls]ings_arsa_c_My_1075"/>
      <sheetName val="[IQA4th.xls]ings_arsa_c_My_1082"/>
      <sheetName val="[IQA4th.xls]ings_arsa_c_My_1083"/>
      <sheetName val="[IQA4th.xls]ings_arsa_c_My_1084"/>
      <sheetName val="[IQA4th.xls]ings_arsa_c_My_1079"/>
      <sheetName val="[IQA4th.xls]ings_arsa_c_My_1080"/>
      <sheetName val="[IQA4th.xls]ings_arsa_c_My_1081"/>
      <sheetName val="[IQA4th.xls]ings_arsa_c_My_1085"/>
      <sheetName val="[IQA4th.xls]ings_arsa_c_My_1086"/>
      <sheetName val="[IQA4th.xls]ings_arsa_c_My_1087"/>
      <sheetName val="[IQA4th.xls]ings_arsa_c_My_1091"/>
      <sheetName val="[IQA4th.xls]ings_arsa_c_My_1092"/>
      <sheetName val="[IQA4th.xls]ings_arsa_c_My_1093"/>
      <sheetName val="[IQA4th.xls]ings_arsa_c_My_1088"/>
      <sheetName val="[IQA4th.xls]ings_arsa_c_My_1089"/>
      <sheetName val="[IQA4th.xls]ings_arsa_c_My_1090"/>
      <sheetName val="[IQA4th.xls]ings_arsa_c_My_1097"/>
      <sheetName val="[IQA4th.xls]ings_arsa_c_My_1098"/>
      <sheetName val="[IQA4th.xls]ings_arsa_c_My_1099"/>
      <sheetName val="[IQA4th.xls]ings_arsa_c_My_1094"/>
      <sheetName val="[IQA4th.xls]ings_arsa_c_My_1095"/>
      <sheetName val="[IQA4th.xls]ings_arsa_c_My_1096"/>
      <sheetName val="[IQA4th.xls]ings_arsa_c_My_1133"/>
      <sheetName val="[IQA4th.xls]ings_arsa_c_My_1134"/>
      <sheetName val="[IQA4th.xls]ings_arsa_c_My_1135"/>
      <sheetName val="[IQA4th.xls]ings_arsa_c_My_1103"/>
      <sheetName val="[IQA4th.xls]ings_arsa_c_My_1104"/>
      <sheetName val="[IQA4th.xls]ings_arsa_c_My_1105"/>
      <sheetName val="[IQA4th.xls]ings_arsa_c_My_1106"/>
      <sheetName val="[IQA4th.xls]ings_arsa_c_My_1107"/>
      <sheetName val="[IQA4th.xls]ings_arsa_c_My_1108"/>
      <sheetName val="[IQA4th.xls]ings_arsa_c_My_1109"/>
      <sheetName val="[IQA4th.xls]ings_arsa_c_My_1110"/>
      <sheetName val="[IQA4th.xls]ings_arsa_c_My_1111"/>
      <sheetName val="[IQA4th.xls]ings_arsa_c_My_1115"/>
      <sheetName val="[IQA4th.xls]ings_arsa_c_My_1116"/>
      <sheetName val="[IQA4th.xls]ings_arsa_c_My_1117"/>
      <sheetName val="[IQA4th.xls]ings_arsa_c_My_1112"/>
      <sheetName val="[IQA4th.xls]ings_arsa_c_My_1113"/>
      <sheetName val="[IQA4th.xls]ings_arsa_c_My_1114"/>
      <sheetName val="[IQA4th.xls]ings_arsa_c_My_1118"/>
      <sheetName val="[IQA4th.xls]ings_arsa_c_My_1119"/>
      <sheetName val="[IQA4th.xls]ings_arsa_c_My_1120"/>
      <sheetName val="[IQA4th.xls]ings_arsa_c_My_1121"/>
      <sheetName val="[IQA4th.xls]ings_arsa_c_My_1122"/>
      <sheetName val="[IQA4th.xls]ings_arsa_c_My_1123"/>
      <sheetName val="[IQA4th.xls]ings_arsa_c_My_1127"/>
      <sheetName val="[IQA4th.xls]ings_arsa_c_My_1128"/>
      <sheetName val="[IQA4th.xls]ings_arsa_c_My_1129"/>
      <sheetName val="[IQA4th.xls]ings_arsa_c_My_1124"/>
      <sheetName val="[IQA4th.xls]ings_arsa_c_My_1125"/>
      <sheetName val="[IQA4th.xls]ings_arsa_c_My_1126"/>
      <sheetName val="[IQA4th.xls]ings_arsa_c_My_1130"/>
      <sheetName val="[IQA4th.xls]ings_arsa_c_My_1131"/>
      <sheetName val="[IQA4th.xls]ings_arsa_c_My_1132"/>
      <sheetName val="AcodeTBL"/>
      <sheetName val="BcodeTBL"/>
      <sheetName val="[IQA4th.xls]ings_arsa_c_My_1148"/>
      <sheetName val="[IQA4th.xls]ings_arsa_c_My_1149"/>
      <sheetName val="[IQA4th.xls]ings_arsa_c_My_1150"/>
      <sheetName val="[IQA4th.xls]ings_arsa_c_My_1142"/>
      <sheetName val="[IQA4th.xls]ings_arsa_c_My_1143"/>
      <sheetName val="[IQA4th.xls]ings_arsa_c_My_1144"/>
      <sheetName val="[IQA4th.xls]ings_arsa_c_My_1139"/>
      <sheetName val="[IQA4th.xls]ings_arsa_c_My_1140"/>
      <sheetName val="[IQA4th.xls]ings_arsa_c_My_1141"/>
      <sheetName val="[IQA4th.xls]ings_arsa_c_My_1145"/>
      <sheetName val="[IQA4th.xls]ings_arsa_c_My_1146"/>
      <sheetName val="[IQA4th.xls]ings_arsa_c_My_1147"/>
      <sheetName val="[IQA4th.xls]ings_arsa_c_My_1157"/>
      <sheetName val="[IQA4th.xls]ings_arsa_c_My_1158"/>
      <sheetName val="[IQA4th.xls]ings_arsa_c_My_1159"/>
      <sheetName val="[IQA4th.xls]ings_arsa_c_My_1151"/>
      <sheetName val="[IQA4th.xls]ings_arsa_c_My_1152"/>
      <sheetName val="[IQA4th.xls]ings_arsa_c_My_1153"/>
      <sheetName val="[IQA4th.xls]ings_arsa_c_My_1154"/>
      <sheetName val="[IQA4th.xls]ings_arsa_c_My_1155"/>
      <sheetName val="[IQA4th.xls]ings_arsa_c_My_1156"/>
      <sheetName val="[IQA4th.xls]ings_arsa_c_My_1160"/>
      <sheetName val="[IQA4th.xls]ings_arsa_c_My_1161"/>
      <sheetName val="[IQA4th.xls][IQA4th.xls]ings__5"/>
      <sheetName val="[IQA4th.xls][IQA4th.xls]_IQA4_5"/>
      <sheetName val="[IQA4th.xls][IQA4th_xls]_IQA4_3"/>
      <sheetName val="[IQA4th.xls][IQA4th_xls]ings__3"/>
      <sheetName val="[IQA4th.xls][IQA4th.xls]ings__6"/>
      <sheetName val="[IQA4th.xls][IQA4th.xls]_IQA4_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>
        <row r="5">
          <cell r="B5" t="str">
            <v>OQM</v>
          </cell>
        </row>
      </sheetData>
      <sheetData sheetId="7">
        <row r="5">
          <cell r="B5" t="str">
            <v>OQM</v>
          </cell>
        </row>
      </sheetData>
      <sheetData sheetId="8" refreshError="1">
        <row r="5">
          <cell r="B5" t="str">
            <v>OQM</v>
          </cell>
          <cell r="C5" t="str">
            <v>Songsak</v>
          </cell>
          <cell r="D5" t="str">
            <v>QA</v>
          </cell>
          <cell r="E5" t="str">
            <v>Supawat</v>
          </cell>
          <cell r="F5" t="str">
            <v>PE</v>
          </cell>
          <cell r="G5">
            <v>36642</v>
          </cell>
        </row>
        <row r="6">
          <cell r="B6" t="str">
            <v>HR</v>
          </cell>
          <cell r="C6" t="str">
            <v>Supawat</v>
          </cell>
          <cell r="D6" t="str">
            <v>PE</v>
          </cell>
          <cell r="E6" t="str">
            <v>Songsak</v>
          </cell>
          <cell r="F6" t="str">
            <v>QA</v>
          </cell>
          <cell r="G6">
            <v>36641</v>
          </cell>
        </row>
        <row r="7">
          <cell r="B7" t="str">
            <v>PE</v>
          </cell>
          <cell r="C7" t="str">
            <v>Kasemsook</v>
          </cell>
          <cell r="D7" t="str">
            <v>VQC</v>
          </cell>
          <cell r="E7" t="str">
            <v>Somyod</v>
          </cell>
          <cell r="F7" t="str">
            <v>PDS</v>
          </cell>
          <cell r="G7">
            <v>36637</v>
          </cell>
        </row>
        <row r="8">
          <cell r="B8" t="str">
            <v>VE</v>
          </cell>
          <cell r="C8" t="str">
            <v>Somyod</v>
          </cell>
          <cell r="D8" t="str">
            <v>PDS</v>
          </cell>
          <cell r="E8" t="str">
            <v>Kasemsook</v>
          </cell>
          <cell r="F8" t="str">
            <v>VQC</v>
          </cell>
          <cell r="G8">
            <v>36636</v>
          </cell>
        </row>
        <row r="9">
          <cell r="B9" t="str">
            <v>OPE</v>
          </cell>
          <cell r="C9" t="str">
            <v>Paisarn</v>
          </cell>
          <cell r="D9" t="str">
            <v>QA</v>
          </cell>
          <cell r="E9" t="str">
            <v>Chote</v>
          </cell>
          <cell r="F9" t="str">
            <v>Plastic</v>
          </cell>
          <cell r="G9">
            <v>36637</v>
          </cell>
        </row>
        <row r="10">
          <cell r="B10" t="str">
            <v>Pur</v>
          </cell>
          <cell r="C10" t="str">
            <v>Chote</v>
          </cell>
          <cell r="D10" t="str">
            <v>Plastic</v>
          </cell>
          <cell r="E10" t="str">
            <v>Paisarn</v>
          </cell>
          <cell r="F10" t="str">
            <v>QA</v>
          </cell>
          <cell r="G10">
            <v>36645</v>
          </cell>
        </row>
        <row r="11">
          <cell r="B11" t="str">
            <v>BM</v>
          </cell>
          <cell r="C11" t="str">
            <v>Anun</v>
          </cell>
          <cell r="D11" t="str">
            <v>Paint1</v>
          </cell>
          <cell r="E11" t="str">
            <v>Dusit</v>
          </cell>
          <cell r="F11" t="str">
            <v>OPE</v>
          </cell>
          <cell r="G11">
            <v>36642</v>
          </cell>
        </row>
        <row r="12">
          <cell r="B12" t="str">
            <v>PP</v>
          </cell>
          <cell r="C12" t="str">
            <v>Dusit</v>
          </cell>
          <cell r="D12" t="str">
            <v>OPE</v>
          </cell>
          <cell r="E12" t="str">
            <v>Anun</v>
          </cell>
          <cell r="F12" t="str">
            <v>Paint1</v>
          </cell>
          <cell r="G12">
            <v>36643</v>
          </cell>
        </row>
        <row r="13">
          <cell r="B13" t="str">
            <v>PC</v>
          </cell>
          <cell r="C13" t="str">
            <v>Kitti</v>
          </cell>
          <cell r="D13" t="str">
            <v>Paint2</v>
          </cell>
          <cell r="E13" t="str">
            <v>Boonsri</v>
          </cell>
          <cell r="F13" t="str">
            <v>PQC</v>
          </cell>
          <cell r="G13">
            <v>36644</v>
          </cell>
        </row>
        <row r="14">
          <cell r="B14" t="str">
            <v>Paint2</v>
          </cell>
          <cell r="C14" t="str">
            <v>Phaisarn</v>
          </cell>
          <cell r="D14" t="str">
            <v>PC</v>
          </cell>
          <cell r="E14" t="str">
            <v>Boonsri</v>
          </cell>
          <cell r="F14" t="str">
            <v>PQC</v>
          </cell>
          <cell r="G14">
            <v>36640</v>
          </cell>
        </row>
        <row r="15">
          <cell r="B15" t="str">
            <v>Assy2</v>
          </cell>
          <cell r="C15" t="str">
            <v>Mongkol</v>
          </cell>
          <cell r="D15" t="str">
            <v>Body2</v>
          </cell>
          <cell r="E15" t="str">
            <v>Thanate</v>
          </cell>
          <cell r="F15" t="str">
            <v>PQC</v>
          </cell>
          <cell r="G15">
            <v>36637</v>
          </cell>
        </row>
        <row r="16">
          <cell r="B16" t="str">
            <v>Body1</v>
          </cell>
          <cell r="C16" t="str">
            <v>Suthin</v>
          </cell>
          <cell r="D16" t="str">
            <v>PC</v>
          </cell>
          <cell r="E16" t="str">
            <v>Paradee</v>
          </cell>
          <cell r="F16" t="str">
            <v>Pur</v>
          </cell>
          <cell r="G16">
            <v>36641</v>
          </cell>
        </row>
        <row r="17">
          <cell r="B17" t="str">
            <v>Body2</v>
          </cell>
          <cell r="C17" t="str">
            <v>Paradee</v>
          </cell>
          <cell r="D17" t="str">
            <v>Pur</v>
          </cell>
          <cell r="E17" t="str">
            <v>Suthin</v>
          </cell>
          <cell r="F17" t="str">
            <v>PC</v>
          </cell>
          <cell r="G17">
            <v>36637</v>
          </cell>
        </row>
        <row r="18">
          <cell r="B18" t="str">
            <v>Plastic</v>
          </cell>
          <cell r="C18" t="str">
            <v>Pongsak</v>
          </cell>
          <cell r="D18" t="str">
            <v>MIS</v>
          </cell>
          <cell r="E18" t="str">
            <v>Tanawat</v>
          </cell>
          <cell r="F18" t="str">
            <v>MEC</v>
          </cell>
          <cell r="G18">
            <v>36634</v>
          </cell>
        </row>
        <row r="19">
          <cell r="B19" t="str">
            <v>Paint1</v>
          </cell>
          <cell r="C19" t="str">
            <v>Tanawat</v>
          </cell>
          <cell r="D19" t="str">
            <v>MEC</v>
          </cell>
          <cell r="E19" t="str">
            <v>Pongsak</v>
          </cell>
          <cell r="F19" t="str">
            <v>MIS</v>
          </cell>
          <cell r="G19">
            <v>36647</v>
          </cell>
        </row>
        <row r="20">
          <cell r="B20" t="str">
            <v>Assy1</v>
          </cell>
          <cell r="C20" t="str">
            <v>Rattaya</v>
          </cell>
          <cell r="D20" t="str">
            <v>Paint1</v>
          </cell>
          <cell r="E20" t="str">
            <v>Chaiwat</v>
          </cell>
          <cell r="F20" t="str">
            <v>OQM</v>
          </cell>
          <cell r="G20">
            <v>36637</v>
          </cell>
        </row>
        <row r="21">
          <cell r="B21" t="str">
            <v>MEC</v>
          </cell>
          <cell r="C21" t="str">
            <v>Chaiwat</v>
          </cell>
          <cell r="D21" t="str">
            <v>OQM</v>
          </cell>
          <cell r="E21" t="str">
            <v>Rattaya</v>
          </cell>
          <cell r="F21" t="str">
            <v>Paint1</v>
          </cell>
          <cell r="G21">
            <v>36642</v>
          </cell>
        </row>
        <row r="22">
          <cell r="B22" t="str">
            <v>KD</v>
          </cell>
          <cell r="C22" t="str">
            <v>Phantira</v>
          </cell>
          <cell r="D22" t="str">
            <v>PQC</v>
          </cell>
          <cell r="E22" t="str">
            <v>Sakchai</v>
          </cell>
          <cell r="F22" t="str">
            <v>Assy2</v>
          </cell>
          <cell r="G22">
            <v>36637</v>
          </cell>
        </row>
        <row r="23">
          <cell r="B23" t="str">
            <v>PDS</v>
          </cell>
          <cell r="C23" t="str">
            <v>Sakchai</v>
          </cell>
          <cell r="D23" t="str">
            <v>Assy2</v>
          </cell>
          <cell r="E23" t="str">
            <v>Phantira</v>
          </cell>
          <cell r="F23" t="str">
            <v>PQC</v>
          </cell>
          <cell r="G23">
            <v>36645</v>
          </cell>
        </row>
        <row r="24">
          <cell r="B24" t="str">
            <v>MIS</v>
          </cell>
          <cell r="C24" t="str">
            <v>Apinun</v>
          </cell>
          <cell r="D24" t="str">
            <v>PE</v>
          </cell>
          <cell r="E24" t="str">
            <v>Suriya</v>
          </cell>
          <cell r="F24" t="str">
            <v>Body2</v>
          </cell>
          <cell r="G24">
            <v>36642</v>
          </cell>
        </row>
        <row r="25">
          <cell r="B25" t="str">
            <v>FC</v>
          </cell>
          <cell r="C25" t="str">
            <v>Suriya</v>
          </cell>
          <cell r="D25" t="str">
            <v>Body2</v>
          </cell>
          <cell r="E25" t="str">
            <v>Apinun</v>
          </cell>
          <cell r="F25" t="str">
            <v>PE</v>
          </cell>
          <cell r="G25">
            <v>36643</v>
          </cell>
        </row>
        <row r="26">
          <cell r="B26" t="str">
            <v>QA</v>
          </cell>
          <cell r="C26" t="str">
            <v>Prawat</v>
          </cell>
          <cell r="D26" t="str">
            <v>KD</v>
          </cell>
          <cell r="E26" t="str">
            <v>Rush</v>
          </cell>
          <cell r="F26" t="str">
            <v>Body1</v>
          </cell>
          <cell r="G26">
            <v>36634</v>
          </cell>
        </row>
        <row r="27">
          <cell r="B27" t="str">
            <v>MT</v>
          </cell>
          <cell r="C27" t="str">
            <v>Rush</v>
          </cell>
          <cell r="D27" t="str">
            <v>Body1</v>
          </cell>
          <cell r="E27" t="str">
            <v>Prawat</v>
          </cell>
          <cell r="F27" t="str">
            <v>KD</v>
          </cell>
          <cell r="G27">
            <v>36645</v>
          </cell>
        </row>
        <row r="28">
          <cell r="B28" t="str">
            <v>PQC</v>
          </cell>
          <cell r="C28" t="str">
            <v>Thammajak</v>
          </cell>
          <cell r="D28" t="str">
            <v>MT</v>
          </cell>
          <cell r="E28" t="str">
            <v>Yootana</v>
          </cell>
          <cell r="F28" t="str">
            <v>Assy1</v>
          </cell>
          <cell r="G28">
            <v>36633</v>
          </cell>
        </row>
        <row r="29">
          <cell r="B29" t="str">
            <v>VQC</v>
          </cell>
          <cell r="C29" t="str">
            <v>Yootana</v>
          </cell>
          <cell r="D29" t="str">
            <v>Assy1</v>
          </cell>
          <cell r="E29" t="str">
            <v>Thammajak</v>
          </cell>
          <cell r="F29" t="str">
            <v>MT</v>
          </cell>
          <cell r="G29">
            <v>36642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>
        <row r="5">
          <cell r="B5" t="str">
            <v>OQM</v>
          </cell>
        </row>
      </sheetData>
      <sheetData sheetId="83">
        <row r="5">
          <cell r="B5" t="str">
            <v>OQM</v>
          </cell>
        </row>
      </sheetData>
      <sheetData sheetId="84"/>
      <sheetData sheetId="85"/>
      <sheetData sheetId="86"/>
      <sheetData sheetId="87"/>
      <sheetData sheetId="88"/>
      <sheetData sheetId="89" refreshError="1"/>
      <sheetData sheetId="90"/>
      <sheetData sheetId="91">
        <row r="5">
          <cell r="B5" t="str">
            <v>OQM</v>
          </cell>
        </row>
      </sheetData>
      <sheetData sheetId="92">
        <row r="5">
          <cell r="B5" t="str">
            <v>OQM</v>
          </cell>
        </row>
      </sheetData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/>
      <sheetData sheetId="488" refreshError="1"/>
      <sheetData sheetId="489" refreshError="1"/>
      <sheetData sheetId="490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 refreshError="1"/>
      <sheetData sheetId="498" refreshError="1"/>
      <sheetData sheetId="499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 refreshError="1"/>
      <sheetData sheetId="772" refreshError="1"/>
      <sheetData sheetId="773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/>
      <sheetData sheetId="801" refreshError="1"/>
      <sheetData sheetId="802" refreshError="1"/>
      <sheetData sheetId="803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/>
      <sheetData sheetId="836" refreshError="1"/>
      <sheetData sheetId="837" refreshError="1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/>
      <sheetData sheetId="845" refreshError="1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 refreshError="1"/>
      <sheetData sheetId="947"/>
      <sheetData sheetId="948"/>
      <sheetData sheetId="949" refreshError="1"/>
      <sheetData sheetId="950"/>
      <sheetData sheetId="951"/>
      <sheetData sheetId="952" refreshError="1"/>
      <sheetData sheetId="953"/>
      <sheetData sheetId="954"/>
      <sheetData sheetId="955" refreshError="1"/>
      <sheetData sheetId="956"/>
      <sheetData sheetId="957"/>
      <sheetData sheetId="958" refreshError="1"/>
      <sheetData sheetId="959"/>
      <sheetData sheetId="960"/>
      <sheetData sheetId="961"/>
      <sheetData sheetId="962" refreshError="1"/>
      <sheetData sheetId="963" refreshError="1"/>
      <sheetData sheetId="964"/>
      <sheetData sheetId="965" refreshError="1"/>
      <sheetData sheetId="966" refreshError="1"/>
      <sheetData sheetId="967" refreshError="1"/>
      <sheetData sheetId="968"/>
      <sheetData sheetId="969"/>
      <sheetData sheetId="970" refreshError="1"/>
      <sheetData sheetId="971"/>
      <sheetData sheetId="972"/>
      <sheetData sheetId="973" refreshError="1"/>
      <sheetData sheetId="974"/>
      <sheetData sheetId="975"/>
      <sheetData sheetId="976" refreshError="1"/>
      <sheetData sheetId="977"/>
      <sheetData sheetId="978"/>
      <sheetData sheetId="979" refreshError="1"/>
      <sheetData sheetId="980"/>
      <sheetData sheetId="981"/>
      <sheetData sheetId="982" refreshError="1"/>
      <sheetData sheetId="983"/>
      <sheetData sheetId="984"/>
      <sheetData sheetId="985" refreshError="1"/>
      <sheetData sheetId="986"/>
      <sheetData sheetId="987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/>
      <sheetData sheetId="1167" refreshError="1"/>
      <sheetData sheetId="1168" refreshError="1"/>
      <sheetData sheetId="1169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/>
      <sheetData sheetId="1335" refreshError="1"/>
      <sheetData sheetId="1336" refreshError="1"/>
      <sheetData sheetId="1337"/>
      <sheetData sheetId="1338" refreshError="1"/>
      <sheetData sheetId="1339" refreshError="1"/>
      <sheetData sheetId="1340"/>
      <sheetData sheetId="1341" refreshError="1"/>
      <sheetData sheetId="1342"/>
      <sheetData sheetId="1343" refreshError="1"/>
      <sheetData sheetId="1344" refreshError="1"/>
      <sheetData sheetId="1345"/>
      <sheetData sheetId="1346" refreshError="1"/>
      <sheetData sheetId="1347" refreshError="1"/>
      <sheetData sheetId="1348"/>
      <sheetData sheetId="1349" refreshError="1"/>
      <sheetData sheetId="1350" refreshError="1"/>
      <sheetData sheetId="135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/>
      <sheetData sheetId="1491" refreshError="1"/>
      <sheetData sheetId="1492" refreshError="1"/>
      <sheetData sheetId="1493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 refreshError="1"/>
      <sheetData sheetId="1568" refreshError="1"/>
      <sheetData sheetId="1569"/>
      <sheetData sheetId="1570" refreshError="1"/>
      <sheetData sheetId="1571" refreshError="1"/>
      <sheetData sheetId="1572"/>
      <sheetData sheetId="1573" refreshError="1"/>
      <sheetData sheetId="1574" refreshError="1"/>
      <sheetData sheetId="1575"/>
      <sheetData sheetId="1576" refreshError="1"/>
      <sheetData sheetId="1577" refreshError="1"/>
      <sheetData sheetId="1578"/>
      <sheetData sheetId="1579" refreshError="1"/>
      <sheetData sheetId="1580" refreshError="1"/>
      <sheetData sheetId="1581"/>
      <sheetData sheetId="1582" refreshError="1"/>
      <sheetData sheetId="1583" refreshError="1"/>
      <sheetData sheetId="1584"/>
      <sheetData sheetId="1585" refreshError="1"/>
      <sheetData sheetId="1586" refreshError="1"/>
      <sheetData sheetId="1587"/>
      <sheetData sheetId="1588" refreshError="1"/>
      <sheetData sheetId="1589" refreshError="1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/>
      <sheetData sheetId="1597" refreshError="1"/>
      <sheetData sheetId="1598" refreshError="1"/>
      <sheetData sheetId="1599"/>
      <sheetData sheetId="1600" refreshError="1"/>
      <sheetData sheetId="1601" refreshError="1"/>
      <sheetData sheetId="1602"/>
      <sheetData sheetId="1603" refreshError="1"/>
      <sheetData sheetId="1604" refreshError="1"/>
      <sheetData sheetId="1605"/>
      <sheetData sheetId="1606" refreshError="1"/>
      <sheetData sheetId="1607" refreshError="1"/>
      <sheetData sheetId="1608"/>
      <sheetData sheetId="1609" refreshError="1"/>
      <sheetData sheetId="1610" refreshError="1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/>
      <sheetData sheetId="1694" refreshError="1"/>
      <sheetData sheetId="1695" refreshError="1"/>
      <sheetData sheetId="1696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/>
      <sheetData sheetId="1757" refreshError="1"/>
      <sheetData sheetId="1758" refreshError="1"/>
      <sheetData sheetId="1759"/>
      <sheetData sheetId="1760" refreshError="1"/>
      <sheetData sheetId="1761" refreshError="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/>
      <sheetData sheetId="1772" refreshError="1"/>
      <sheetData sheetId="1773" refreshError="1"/>
      <sheetData sheetId="1774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/>
      <sheetData sheetId="1819" refreshError="1"/>
      <sheetData sheetId="1820" refreshError="1"/>
      <sheetData sheetId="1821"/>
      <sheetData sheetId="1822" refreshError="1"/>
      <sheetData sheetId="1823" refreshError="1"/>
      <sheetData sheetId="1824"/>
      <sheetData sheetId="1825" refreshError="1"/>
      <sheetData sheetId="1826" refreshError="1"/>
      <sheetData sheetId="1827"/>
      <sheetData sheetId="1828" refreshError="1"/>
      <sheetData sheetId="1829" refreshError="1"/>
      <sheetData sheetId="1830"/>
      <sheetData sheetId="1831" refreshError="1"/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"/>
      <sheetName val="04納不ﾍﾞﾀ"/>
      <sheetName val="不良ﾃﾞｰﾀ資料"/>
      <sheetName val="登録A"/>
      <sheetName val="登録B"/>
      <sheetName val="不灯ﾍﾞﾀ"/>
      <sheetName val="異品ﾍﾞﾀ"/>
      <sheetName val="社内呼称"/>
      <sheetName val="図面"/>
      <sheetName val="納入総括"/>
      <sheetName val="ﾄﾞﾛｯﾌﾟﾀﾞｳﾝLIST"/>
      <sheetName val="★04年度品証二課納入不良一覧(完成)-2"/>
      <sheetName val="外注納不"/>
      <sheetName val="一・二課"/>
      <sheetName val="日産呼称DATA"/>
      <sheetName val="対象部番一覧"/>
      <sheetName val="Sheet3"/>
      <sheetName val="事務所引越見積書"/>
      <sheetName val="PHPHN"/>
      <sheetName val="GBY.C企"/>
      <sheetName val="#REF!"/>
      <sheetName val="６２３Ｔ"/>
      <sheetName val="set date"/>
      <sheetName val="167W SOKAKU Carry Over Prts"/>
    </sheetNames>
    <sheetDataSet>
      <sheetData sheetId="0"/>
      <sheetData sheetId="1"/>
      <sheetData sheetId="2" refreshError="1">
        <row r="2">
          <cell r="A2" t="str">
            <v>04-01</v>
          </cell>
          <cell r="B2" t="str">
            <v>伊勢原</v>
          </cell>
          <cell r="D2" t="str">
            <v>飛鳥</v>
          </cell>
          <cell r="F2" t="str">
            <v>新</v>
          </cell>
          <cell r="G2" t="str">
            <v>●</v>
          </cell>
          <cell r="H2" t="str">
            <v>A</v>
          </cell>
          <cell r="I2" t="str">
            <v>確定</v>
          </cell>
          <cell r="K2" t="str">
            <v>Ａ異品</v>
          </cell>
        </row>
        <row r="3">
          <cell r="A3" t="str">
            <v>04-02</v>
          </cell>
          <cell r="B3" t="str">
            <v>大泉</v>
          </cell>
          <cell r="D3" t="str">
            <v>池田</v>
          </cell>
          <cell r="F3" t="str">
            <v>再</v>
          </cell>
          <cell r="G3" t="str">
            <v>○</v>
          </cell>
          <cell r="H3" t="str">
            <v>B</v>
          </cell>
          <cell r="I3" t="str">
            <v>異議OK</v>
          </cell>
          <cell r="K3" t="str">
            <v>Ｂ欠品</v>
          </cell>
        </row>
        <row r="4">
          <cell r="A4" t="str">
            <v>04-03</v>
          </cell>
          <cell r="B4" t="str">
            <v>中津川</v>
          </cell>
          <cell r="D4" t="str">
            <v>いなべ</v>
          </cell>
          <cell r="G4" t="str">
            <v>×</v>
          </cell>
          <cell r="H4" t="str">
            <v>C</v>
          </cell>
          <cell r="I4" t="str">
            <v>異議中</v>
          </cell>
          <cell r="K4" t="str">
            <v>Ｃ組付</v>
          </cell>
        </row>
        <row r="5">
          <cell r="A5" t="str">
            <v>04-04</v>
          </cell>
          <cell r="B5" t="str">
            <v>藤岡</v>
          </cell>
          <cell r="D5" t="str">
            <v>岩手</v>
          </cell>
          <cell r="H5" t="str">
            <v>ER</v>
          </cell>
          <cell r="I5" t="str">
            <v>品不連</v>
          </cell>
          <cell r="K5" t="str">
            <v>Ｄ外観</v>
          </cell>
        </row>
        <row r="6">
          <cell r="A6" t="str">
            <v>04-05</v>
          </cell>
          <cell r="B6" t="str">
            <v>ミラー</v>
          </cell>
          <cell r="D6" t="str">
            <v>大口</v>
          </cell>
          <cell r="H6" t="str">
            <v>KD</v>
          </cell>
          <cell r="I6" t="str">
            <v>未確定</v>
          </cell>
          <cell r="K6" t="str">
            <v>Ｅ機能</v>
          </cell>
        </row>
        <row r="7">
          <cell r="A7" t="str">
            <v>04-06</v>
          </cell>
          <cell r="B7" t="str">
            <v>九市</v>
          </cell>
          <cell r="D7" t="str">
            <v>川崎</v>
          </cell>
          <cell r="H7" t="str">
            <v>工管</v>
          </cell>
          <cell r="I7" t="str">
            <v>回避活動</v>
          </cell>
          <cell r="K7" t="str">
            <v>Ｆ加工</v>
          </cell>
        </row>
        <row r="8">
          <cell r="A8" t="str">
            <v>04-07</v>
          </cell>
          <cell r="D8" t="str">
            <v>岐阜</v>
          </cell>
          <cell r="H8" t="str">
            <v>a</v>
          </cell>
          <cell r="K8" t="str">
            <v>Ｇ電球</v>
          </cell>
        </row>
        <row r="9">
          <cell r="A9" t="str">
            <v>04-08</v>
          </cell>
          <cell r="D9" t="str">
            <v>九州</v>
          </cell>
          <cell r="H9" t="str">
            <v>b</v>
          </cell>
          <cell r="K9" t="str">
            <v>Ｚ他</v>
          </cell>
        </row>
        <row r="10">
          <cell r="A10" t="str">
            <v>04-09</v>
          </cell>
          <cell r="D10" t="str">
            <v>京都</v>
          </cell>
          <cell r="H10" t="str">
            <v>c</v>
          </cell>
        </row>
        <row r="11">
          <cell r="A11" t="str">
            <v>04-10</v>
          </cell>
          <cell r="D11" t="str">
            <v>黒笹</v>
          </cell>
          <cell r="H11" t="str">
            <v>A→○</v>
          </cell>
        </row>
        <row r="12">
          <cell r="A12" t="str">
            <v>04-11</v>
          </cell>
          <cell r="D12" t="str">
            <v>滋賀</v>
          </cell>
          <cell r="H12" t="str">
            <v>B→○</v>
          </cell>
        </row>
        <row r="13">
          <cell r="A13" t="str">
            <v>04-12</v>
          </cell>
          <cell r="D13" t="str">
            <v>鈴鹿</v>
          </cell>
        </row>
        <row r="14">
          <cell r="D14" t="str">
            <v>高岡</v>
          </cell>
        </row>
        <row r="15">
          <cell r="D15" t="str">
            <v>高浜</v>
          </cell>
        </row>
        <row r="16">
          <cell r="D16" t="str">
            <v>田原</v>
          </cell>
        </row>
        <row r="17">
          <cell r="D17" t="str">
            <v>長草</v>
          </cell>
        </row>
        <row r="18">
          <cell r="D18" t="str">
            <v>堤</v>
          </cell>
        </row>
        <row r="19">
          <cell r="D19" t="str">
            <v>長浜</v>
          </cell>
        </row>
        <row r="20">
          <cell r="D20" t="str">
            <v>名古屋</v>
          </cell>
        </row>
        <row r="21">
          <cell r="D21" t="str">
            <v>挟山</v>
          </cell>
        </row>
        <row r="22">
          <cell r="D22" t="str">
            <v>羽村</v>
          </cell>
        </row>
        <row r="23">
          <cell r="D23" t="str">
            <v>東富士</v>
          </cell>
        </row>
        <row r="24">
          <cell r="D24" t="str">
            <v>藤沢</v>
          </cell>
        </row>
        <row r="25">
          <cell r="D25" t="str">
            <v>富士通</v>
          </cell>
        </row>
        <row r="26">
          <cell r="D26" t="str">
            <v>富士松</v>
          </cell>
        </row>
        <row r="27">
          <cell r="D27" t="str">
            <v>本社</v>
          </cell>
        </row>
        <row r="28">
          <cell r="D28" t="str">
            <v>水島</v>
          </cell>
        </row>
        <row r="29">
          <cell r="D29" t="str">
            <v>元町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  <sheetName val="納入総括"/>
    </sheetNames>
    <definedNames>
      <definedName name="BM_XRateEdit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  <sheetName val="MOTO"/>
      <sheetName val="基準ｲﾝﾌﾟｯﾄ"/>
      <sheetName val="#ofclose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uare1"/>
      <sheetName val="Titel"/>
      <sheetName val="Hyp"/>
      <sheetName val="Spec(1) Thailand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SCH"/>
      <sheetName val="Master Parts List"/>
      <sheetName val="JT3.0견적-구1"/>
      <sheetName val="MRSTE"/>
      <sheetName val="PROFILE"/>
      <sheetName val="MOTO"/>
      <sheetName val="첨부2"/>
      <sheetName val="T30ﾗｼﾞｸﾞﾘ"/>
      <sheetName val="条件表"/>
      <sheetName val="List FunctionGroups"/>
      <sheetName val="#REF"/>
      <sheetName val="ﾍﾞﾀﾘｽﾄ"/>
      <sheetName val="R Prgr Fin Data"/>
      <sheetName val="R Ph. 1 Entry"/>
      <sheetName val="R Prgr. Budg. Sum."/>
      <sheetName val="R Prod. Cost Sum."/>
      <sheetName val="R Business Plan Form"/>
      <sheetName val="R P&amp;L"/>
      <sheetName val="R FJS CAR"/>
      <sheetName val="事務所引越見積書"/>
      <sheetName val="MM利益・原価企画方針書ｶｸ１"/>
      <sheetName val="①評価項目_メーカー"/>
      <sheetName val="9003"/>
      <sheetName val="lists"/>
      <sheetName val="After Sales Supplier #'s"/>
      <sheetName val="カチオン・コストテーブル"/>
      <sheetName val="MPL 技連"/>
      <sheetName val="342E BLOCK"/>
      <sheetName val="VT BN Check 9_5_2012"/>
      <sheetName val="WJ素材費"/>
      <sheetName val="試作DPロット日程"/>
      <sheetName val="Econ"/>
      <sheetName val="Color"/>
      <sheetName val="Mat"/>
      <sheetName val="Machine"/>
      <sheetName val="班部番別"/>
      <sheetName val="K440 can wake-up logic"/>
      <sheetName val="Lista Congelada 05-08"/>
      <sheetName val="Nomenclatura"/>
      <sheetName val="GuiaDD"/>
      <sheetName val="Annual Working Days by Plant"/>
      <sheetName val="Lookup Tables"/>
      <sheetName val="CSM"/>
      <sheetName val="Holidays"/>
      <sheetName val="Monthly Working Days by Plant"/>
      <sheetName val="Ramp-Up Month per Vehicle"/>
      <sheetName val="Vehicle Volume PT"/>
      <sheetName val="Workdays per Vehicle by SOP,EOP"/>
      <sheetName val="Mth"/>
      <sheetName val="Qtr"/>
      <sheetName val="サイン・経歴記入欄"/>
      <sheetName val="要旨一覧表"/>
      <sheetName val="Nomenclature"/>
      <sheetName val="材料使用量原紙"/>
      <sheetName val="MAKER2 (PRC)"/>
      <sheetName val="ｉ１１９"/>
      <sheetName val="Attachement(5)-2-A1"/>
      <sheetName val="Param"/>
      <sheetName val="設計通知書原紙"/>
      <sheetName val="TKBN_TKBNA"/>
      <sheetName val="contract AGER"/>
      <sheetName val="contract APOR"/>
      <sheetName val="market AGER"/>
      <sheetName val="market APOR"/>
      <sheetName val="contract"/>
      <sheetName val="market"/>
      <sheetName val="Program"/>
      <sheetName val="Europe PU-1"/>
      <sheetName val="段ﾎﾞｰﾙ箱図番･荷姿ｺｰﾄﾞ"/>
      <sheetName val="塗装仕様書"/>
      <sheetName val="MASTER"/>
      <sheetName val="General information"/>
      <sheetName val="K4M-720"/>
      <sheetName val="TP K9K-260"/>
      <sheetName val="Pflege Monate"/>
      <sheetName val="Codes"/>
      <sheetName val="Matrix"/>
      <sheetName val=" Cycle Time Tables"/>
      <sheetName val="INFO"/>
      <sheetName val="e-BOM"/>
      <sheetName val="CSM with CKD"/>
      <sheetName val="Modifers"/>
      <sheetName val="Part Desriptions"/>
      <sheetName val="PFM Restricted Standard Parts"/>
      <sheetName val="Tax Rates"/>
      <sheetName val="投資係数"/>
      <sheetName val="Presses"/>
      <sheetName val="Matières"/>
      <sheetName val="Liste"/>
      <sheetName val="Sheet2"/>
      <sheetName val="DIEZEL動弁相場"/>
      <sheetName val="ALPL"/>
      <sheetName val="ASSY PART BLOCK"/>
      <sheetName val="PN_ORDER"/>
      <sheetName val="???????"/>
      <sheetName val="Read me first"/>
      <sheetName val="April"/>
      <sheetName val="August"/>
      <sheetName val="February"/>
      <sheetName val="January"/>
      <sheetName val="July"/>
      <sheetName val="June"/>
      <sheetName val="March"/>
      <sheetName val="May"/>
      <sheetName val="November"/>
      <sheetName val="October"/>
      <sheetName val="September"/>
      <sheetName val="ﾊﾟｲﾌﾟ"/>
      <sheetName val="他材料費"/>
      <sheetName val="冷延鋼板"/>
      <sheetName val="熱延鋼板"/>
      <sheetName val="完了"/>
      <sheetName val="Eng"/>
      <sheetName val="PAP 9Q EU00 210301"/>
      <sheetName val="PCAT"/>
      <sheetName val="PRC"/>
      <sheetName val="総合B"/>
      <sheetName val="094_APP別"/>
      <sheetName val="2-row_Opt_table"/>
      <sheetName val="集計条件"/>
      <sheetName val="Margins"/>
      <sheetName val="CALC"/>
      <sheetName val="Plant Data"/>
      <sheetName val="P&amp;L"/>
      <sheetName val="forDate"/>
      <sheetName val="見積依頼部品一覧"/>
      <sheetName val="MASTER, Assy Month"/>
      <sheetName val="Parts Name List "/>
      <sheetName val="Current Status"/>
      <sheetName val="６２３Ｔ"/>
      <sheetName val="集計ﾘｽﾄ"/>
      <sheetName val="LPP SHEET"/>
      <sheetName val="99年度原単位"/>
      <sheetName val="List_data"/>
      <sheetName val="Ford"/>
      <sheetName val="Labor"/>
      <sheetName val="N719(NC)"/>
      <sheetName val="Summary"/>
      <sheetName val="③F-List"/>
      <sheetName val="生涯利益計画ｼｰﾄ"/>
      <sheetName val="一般"/>
      <sheetName val="ME"/>
      <sheetName val="暗騒音→等高線"/>
      <sheetName val="selling prices"/>
      <sheetName val="Rates"/>
      <sheetName val="Material"/>
      <sheetName val="FUNCTION CHART"/>
      <sheetName val="Headlamp Housing Load"/>
      <sheetName val="Headlamp Lens Load"/>
      <sheetName val="Headlamp Reflector Load"/>
      <sheetName val="342A Block"/>
      <sheetName val="Vol &amp; Assumpt"/>
      <sheetName val="Attachment(10)-2"/>
      <sheetName val="Attachment(10)-3"/>
      <sheetName val="FY18"/>
      <sheetName val="ＩＰ電話　空き"/>
      <sheetName val="IＮPUT"/>
      <sheetName val="_______"/>
      <sheetName val="Sheet1"/>
      <sheetName val="成果表"/>
      <sheetName val="Production Database 399"/>
      <sheetName val="FR管理工程図"/>
      <sheetName val="K4見積 (訂正) (2)"/>
      <sheetName val="Tooling"/>
      <sheetName val="Floor Detail "/>
      <sheetName val="Attachment-4(2)"/>
      <sheetName val="ETRS"/>
      <sheetName val="入力規制"/>
      <sheetName val="WACC"/>
      <sheetName val="Constant"/>
      <sheetName val="0410MFGﾍﾞｰｽ"/>
      <sheetName val="XV0個人"/>
      <sheetName val="TSM6709G"/>
      <sheetName val="SOW"/>
      <sheetName val="Process_Mech"/>
      <sheetName val="??"/>
      <sheetName val="__"/>
      <sheetName val="Tables"/>
      <sheetName val="Spec(1)_Thailand1"/>
      <sheetName val="JT3_0견적-구11"/>
      <sheetName val="Master_Parts_List1"/>
      <sheetName val="R_Prgr_Fin_Data1"/>
      <sheetName val="R_Ph__1_Entry1"/>
      <sheetName val="R_Prgr__Budg__Sum_1"/>
      <sheetName val="R_Prod__Cost_Sum_1"/>
      <sheetName val="R_Business_Plan_Form1"/>
      <sheetName val="R_P&amp;L1"/>
      <sheetName val="R_FJS_CAR1"/>
      <sheetName val="List_FunctionGroups1"/>
      <sheetName val="VT_BN_Check_9_5_20121"/>
      <sheetName val="MPL_技連1"/>
      <sheetName val="342E_BLOCK1"/>
      <sheetName val="contract_AGER1"/>
      <sheetName val="contract_APOR1"/>
      <sheetName val="market_AGER1"/>
      <sheetName val="market_APOR1"/>
      <sheetName val="Plant_Data1"/>
      <sheetName val="Tax_Rates1"/>
      <sheetName val="After_Sales_Supplier_#'s1"/>
      <sheetName val="Lista_Congelada_05-081"/>
      <sheetName val="MAKER2_(PRC)1"/>
      <sheetName val="Spec(1)_Thailand"/>
      <sheetName val="JT3_0견적-구1"/>
      <sheetName val="Master_Parts_List"/>
      <sheetName val="R_Prgr_Fin_Data"/>
      <sheetName val="R_Ph__1_Entry"/>
      <sheetName val="R_Prgr__Budg__Sum_"/>
      <sheetName val="R_Prod__Cost_Sum_"/>
      <sheetName val="R_Business_Plan_Form"/>
      <sheetName val="R_P&amp;L"/>
      <sheetName val="R_FJS_CAR"/>
      <sheetName val="List_FunctionGroups"/>
      <sheetName val="VT_BN_Check_9_5_2012"/>
      <sheetName val="MPL_技連"/>
      <sheetName val="342E_BLOCK"/>
      <sheetName val="contract_AGER"/>
      <sheetName val="contract_APOR"/>
      <sheetName val="market_AGER"/>
      <sheetName val="market_APOR"/>
      <sheetName val="Plant_Data"/>
      <sheetName val="Tax_Rates"/>
      <sheetName val="After_Sales_Supplier_#'s"/>
      <sheetName val="Lista_Congelada_05-08"/>
      <sheetName val="MAKER2_(PRC)"/>
      <sheetName val="Workdays"/>
      <sheetName val="115円ﾍﾞｰｽ"/>
      <sheetName val="BEHR"/>
      <sheetName val="FormatOrg"/>
      <sheetName val="T_List_BC01_Mas_ProductionLine"/>
      <sheetName val="KR282ﾚｼﾞﾝ"/>
      <sheetName val="メニュー"/>
      <sheetName val="修正ﾌｧｲﾙ一覧"/>
      <sheetName val="変更点ORG"/>
      <sheetName val="修正一覧PRT"/>
      <sheetName val="ｿﾌﾄ変更点管理（ＭＩＤ）"/>
      <sheetName val="ｿﾌﾄ変更点管理"/>
      <sheetName val="SI後確認用PCL（ＭＩＤ）"/>
      <sheetName val="SI後確認用PCL"/>
      <sheetName val="XML用変更点管理"/>
      <sheetName val="ワーク"/>
      <sheetName val="Annual Car Sales Data"/>
      <sheetName val="Configuration"/>
      <sheetName val="R0-10表紙IT-M"/>
      <sheetName val="#REF!"/>
      <sheetName val="@@@MENU"/>
      <sheetName val="車体構成"/>
      <sheetName val="H9上CAT"/>
      <sheetName val="ＭＡＵＩ通話電流"/>
      <sheetName val="文書管理台帳"/>
      <sheetName val="独17"/>
      <sheetName val="Sheet3"/>
      <sheetName val="オイラー角"/>
      <sheetName val="鋁"/>
      <sheetName val="PARAMETRES"/>
      <sheetName val="最終点火時期"/>
      <sheetName val="変更対象"/>
      <sheetName val="IQ List"/>
      <sheetName val="code pays"/>
      <sheetName val="DATA_HEAD"/>
      <sheetName val="差し出し人リスト"/>
      <sheetName val="TP_K9K-260"/>
      <sheetName val="Pflege_Monate"/>
      <sheetName val="185-65r14_4.5"/>
      <sheetName val="094W原紙 "/>
      <sheetName val="Volumes"/>
      <sheetName val="DATA_DELIVERY"/>
      <sheetName val="名前"/>
      <sheetName val="日産呼称DATA"/>
      <sheetName val="対象部番一覧"/>
      <sheetName val="IVCR"/>
      <sheetName val="Kontensalden"/>
      <sheetName val="Spec(1)_Thailand2"/>
      <sheetName val="Master_Parts_List2"/>
      <sheetName val="JT3_0견적-구12"/>
      <sheetName val="List_FunctionGroups2"/>
      <sheetName val="R_Prgr_Fin_Data2"/>
      <sheetName val="R_Ph__1_Entry2"/>
      <sheetName val="R_Prgr__Budg__Sum_2"/>
      <sheetName val="R_Prod__Cost_Sum_2"/>
      <sheetName val="R_Business_Plan_Form2"/>
      <sheetName val="R_P&amp;L2"/>
      <sheetName val="R_FJS_CAR2"/>
      <sheetName val="Lista_Congelada_05-082"/>
      <sheetName val="VT_BN_Check_9_5_20122"/>
      <sheetName val="After_Sales_Supplier_#'s2"/>
      <sheetName val="MPL_技連2"/>
      <sheetName val="342E_BLOCK2"/>
      <sheetName val="MAKER2_(PRC)2"/>
      <sheetName val="contract_AGER2"/>
      <sheetName val="contract_APOR2"/>
      <sheetName val="market_AGER2"/>
      <sheetName val="market_APOR2"/>
      <sheetName val="General_information2"/>
      <sheetName val="TP_K9K-2602"/>
      <sheetName val="Pflege_Monate2"/>
      <sheetName val="_Cycle_Time_Tables2"/>
      <sheetName val="CSM_with_CKD2"/>
      <sheetName val="Europe_PU-12"/>
      <sheetName val="Part_Desriptions2"/>
      <sheetName val="PFM_Restricted_Standard_Parts2"/>
      <sheetName val="Tax_Rates2"/>
      <sheetName val="Read_me_first2"/>
      <sheetName val="Parts_Name_List_2"/>
      <sheetName val="ASSY_PART_BLOCK2"/>
      <sheetName val="K440_can_wake-up_logic2"/>
      <sheetName val="PAP_9Q_EU00_2103012"/>
      <sheetName val="Plant_Data2"/>
      <sheetName val="MASTER,_Assy_Month2"/>
      <sheetName val="Current_Status2"/>
      <sheetName val="LPP_SHEET2"/>
      <sheetName val="selling_prices2"/>
      <sheetName val="FUNCTION_CHART2"/>
      <sheetName val="Headlamp_Housing_Load2"/>
      <sheetName val="Headlamp_Lens_Load2"/>
      <sheetName val="Headlamp_Reflector_Load2"/>
      <sheetName val="K4見積_(訂正)_(2)2"/>
      <sheetName val="094W原紙_2"/>
      <sheetName val="General_information"/>
      <sheetName val="_Cycle_Time_Tables"/>
      <sheetName val="CSM_with_CKD"/>
      <sheetName val="Europe_PU-1"/>
      <sheetName val="Part_Desriptions"/>
      <sheetName val="PFM_Restricted_Standard_Parts"/>
      <sheetName val="Read_me_first"/>
      <sheetName val="Parts_Name_List_"/>
      <sheetName val="ASSY_PART_BLOCK"/>
      <sheetName val="K440_can_wake-up_logic"/>
      <sheetName val="PAP_9Q_EU00_210301"/>
      <sheetName val="MASTER,_Assy_Month"/>
      <sheetName val="Current_Status"/>
      <sheetName val="LPP_SHEET"/>
      <sheetName val="selling_prices"/>
      <sheetName val="FUNCTION_CHART"/>
      <sheetName val="Headlamp_Housing_Load"/>
      <sheetName val="Headlamp_Lens_Load"/>
      <sheetName val="Headlamp_Reflector_Load"/>
      <sheetName val="K4見積_(訂正)_(2)"/>
      <sheetName val="094W原紙_"/>
      <sheetName val="General_information1"/>
      <sheetName val="TP_K9K-2601"/>
      <sheetName val="Pflege_Monate1"/>
      <sheetName val="_Cycle_Time_Tables1"/>
      <sheetName val="CSM_with_CKD1"/>
      <sheetName val="Europe_PU-11"/>
      <sheetName val="Part_Desriptions1"/>
      <sheetName val="PFM_Restricted_Standard_Parts1"/>
      <sheetName val="Read_me_first1"/>
      <sheetName val="Parts_Name_List_1"/>
      <sheetName val="ASSY_PART_BLOCK1"/>
      <sheetName val="K440_can_wake-up_logic1"/>
      <sheetName val="PAP_9Q_EU00_2103011"/>
      <sheetName val="MASTER,_Assy_Month1"/>
      <sheetName val="Current_Status1"/>
      <sheetName val="LPP_SHEET1"/>
      <sheetName val="selling_prices1"/>
      <sheetName val="FUNCTION_CHART1"/>
      <sheetName val="Headlamp_Housing_Load1"/>
      <sheetName val="Headlamp_Lens_Load1"/>
      <sheetName val="Headlamp_Reflector_Load1"/>
      <sheetName val="K4見積_(訂正)_(2)1"/>
      <sheetName val="094W原紙_1"/>
      <sheetName val="Spec(1)_Thailand7"/>
      <sheetName val="Master_Parts_List7"/>
      <sheetName val="JT3_0견적-구17"/>
      <sheetName val="List_FunctionGroups7"/>
      <sheetName val="R_Prgr_Fin_Data7"/>
      <sheetName val="R_Ph__1_Entry7"/>
      <sheetName val="R_Prgr__Budg__Sum_7"/>
      <sheetName val="R_Prod__Cost_Sum_7"/>
      <sheetName val="R_Business_Plan_Form7"/>
      <sheetName val="R_P&amp;L7"/>
      <sheetName val="R_FJS_CAR7"/>
      <sheetName val="Lista_Congelada_05-087"/>
      <sheetName val="VT_BN_Check_9_5_20127"/>
      <sheetName val="After_Sales_Supplier_#'s7"/>
      <sheetName val="MPL_技連7"/>
      <sheetName val="342E_BLOCK7"/>
      <sheetName val="MAKER2_(PRC)7"/>
      <sheetName val="contract_AGER7"/>
      <sheetName val="contract_APOR7"/>
      <sheetName val="market_AGER7"/>
      <sheetName val="market_APOR7"/>
      <sheetName val="General_information7"/>
      <sheetName val="TP_K9K-2607"/>
      <sheetName val="Pflege_Monate7"/>
      <sheetName val="_Cycle_Time_Tables7"/>
      <sheetName val="CSM_with_CKD7"/>
      <sheetName val="Europe_PU-17"/>
      <sheetName val="Part_Desriptions7"/>
      <sheetName val="PFM_Restricted_Standard_Parts7"/>
      <sheetName val="Tax_Rates7"/>
      <sheetName val="Read_me_first7"/>
      <sheetName val="Parts_Name_List_7"/>
      <sheetName val="ASSY_PART_BLOCK7"/>
      <sheetName val="K440_can_wake-up_logic7"/>
      <sheetName val="PAP_9Q_EU00_2103017"/>
      <sheetName val="Plant_Data7"/>
      <sheetName val="MASTER,_Assy_Month7"/>
      <sheetName val="Current_Status7"/>
      <sheetName val="LPP_SHEET7"/>
      <sheetName val="selling_prices7"/>
      <sheetName val="FUNCTION_CHART7"/>
      <sheetName val="Headlamp_Housing_Load7"/>
      <sheetName val="Headlamp_Lens_Load7"/>
      <sheetName val="Headlamp_Reflector_Load7"/>
      <sheetName val="K4見積_(訂正)_(2)7"/>
      <sheetName val="094W原紙_7"/>
      <sheetName val="Spec(1)_Thailand6"/>
      <sheetName val="Master_Parts_List6"/>
      <sheetName val="JT3_0견적-구16"/>
      <sheetName val="List_FunctionGroups6"/>
      <sheetName val="R_Prgr_Fin_Data6"/>
      <sheetName val="R_Ph__1_Entry6"/>
      <sheetName val="R_Prgr__Budg__Sum_6"/>
      <sheetName val="R_Prod__Cost_Sum_6"/>
      <sheetName val="R_Business_Plan_Form6"/>
      <sheetName val="R_P&amp;L6"/>
      <sheetName val="R_FJS_CAR6"/>
      <sheetName val="Lista_Congelada_05-086"/>
      <sheetName val="VT_BN_Check_9_5_20126"/>
      <sheetName val="After_Sales_Supplier_#'s6"/>
      <sheetName val="MPL_技連6"/>
      <sheetName val="342E_BLOCK6"/>
      <sheetName val="MAKER2_(PRC)6"/>
      <sheetName val="contract_AGER6"/>
      <sheetName val="contract_APOR6"/>
      <sheetName val="market_AGER6"/>
      <sheetName val="market_APOR6"/>
      <sheetName val="General_information6"/>
      <sheetName val="TP_K9K-2606"/>
      <sheetName val="Pflege_Monate6"/>
      <sheetName val="_Cycle_Time_Tables6"/>
      <sheetName val="CSM_with_CKD6"/>
      <sheetName val="Europe_PU-16"/>
      <sheetName val="Part_Desriptions6"/>
      <sheetName val="PFM_Restricted_Standard_Parts6"/>
      <sheetName val="Tax_Rates6"/>
      <sheetName val="Read_me_first6"/>
      <sheetName val="Parts_Name_List_6"/>
      <sheetName val="ASSY_PART_BLOCK6"/>
      <sheetName val="K440_can_wake-up_logic6"/>
      <sheetName val="PAP_9Q_EU00_2103016"/>
      <sheetName val="Plant_Data6"/>
      <sheetName val="MASTER,_Assy_Month6"/>
      <sheetName val="Current_Status6"/>
      <sheetName val="LPP_SHEET6"/>
      <sheetName val="selling_prices6"/>
      <sheetName val="FUNCTION_CHART6"/>
      <sheetName val="Headlamp_Housing_Load6"/>
      <sheetName val="Headlamp_Lens_Load6"/>
      <sheetName val="Headlamp_Reflector_Load6"/>
      <sheetName val="K4見積_(訂正)_(2)6"/>
      <sheetName val="094W原紙_6"/>
      <sheetName val="Spec(1)_Thailand3"/>
      <sheetName val="Master_Parts_List3"/>
      <sheetName val="JT3_0견적-구13"/>
      <sheetName val="List_FunctionGroups3"/>
      <sheetName val="R_Prgr_Fin_Data3"/>
      <sheetName val="R_Ph__1_Entry3"/>
      <sheetName val="R_Prgr__Budg__Sum_3"/>
      <sheetName val="R_Prod__Cost_Sum_3"/>
      <sheetName val="R_Business_Plan_Form3"/>
      <sheetName val="R_P&amp;L3"/>
      <sheetName val="R_FJS_CAR3"/>
      <sheetName val="Lista_Congelada_05-083"/>
      <sheetName val="VT_BN_Check_9_5_20123"/>
      <sheetName val="After_Sales_Supplier_#'s3"/>
      <sheetName val="MPL_技連3"/>
      <sheetName val="342E_BLOCK3"/>
      <sheetName val="MAKER2_(PRC)3"/>
      <sheetName val="contract_AGER3"/>
      <sheetName val="contract_APOR3"/>
      <sheetName val="market_AGER3"/>
      <sheetName val="market_APOR3"/>
      <sheetName val="General_information3"/>
      <sheetName val="TP_K9K-2603"/>
      <sheetName val="Pflege_Monate3"/>
      <sheetName val="_Cycle_Time_Tables3"/>
      <sheetName val="CSM_with_CKD3"/>
      <sheetName val="Europe_PU-13"/>
      <sheetName val="Part_Desriptions3"/>
      <sheetName val="PFM_Restricted_Standard_Parts3"/>
      <sheetName val="Tax_Rates3"/>
      <sheetName val="Read_me_first3"/>
      <sheetName val="Parts_Name_List_3"/>
      <sheetName val="ASSY_PART_BLOCK3"/>
      <sheetName val="K440_can_wake-up_logic3"/>
      <sheetName val="PAP_9Q_EU00_2103013"/>
      <sheetName val="Plant_Data3"/>
      <sheetName val="MASTER,_Assy_Month3"/>
      <sheetName val="Current_Status3"/>
      <sheetName val="LPP_SHEET3"/>
      <sheetName val="selling_prices3"/>
      <sheetName val="FUNCTION_CHART3"/>
      <sheetName val="Headlamp_Housing_Load3"/>
      <sheetName val="Headlamp_Lens_Load3"/>
      <sheetName val="Headlamp_Reflector_Load3"/>
      <sheetName val="K4見積_(訂正)_(2)3"/>
      <sheetName val="094W原紙_3"/>
      <sheetName val="Spec(1)_Thailand4"/>
      <sheetName val="Master_Parts_List4"/>
      <sheetName val="JT3_0견적-구14"/>
      <sheetName val="List_FunctionGroups4"/>
      <sheetName val="R_Prgr_Fin_Data4"/>
      <sheetName val="R_Ph__1_Entry4"/>
      <sheetName val="R_Prgr__Budg__Sum_4"/>
      <sheetName val="R_Prod__Cost_Sum_4"/>
      <sheetName val="R_Business_Plan_Form4"/>
      <sheetName val="R_P&amp;L4"/>
      <sheetName val="R_FJS_CAR4"/>
      <sheetName val="Lista_Congelada_05-084"/>
      <sheetName val="VT_BN_Check_9_5_20124"/>
      <sheetName val="After_Sales_Supplier_#'s4"/>
      <sheetName val="MPL_技連4"/>
      <sheetName val="342E_BLOCK4"/>
      <sheetName val="MAKER2_(PRC)4"/>
      <sheetName val="contract_AGER4"/>
      <sheetName val="contract_APOR4"/>
      <sheetName val="market_AGER4"/>
      <sheetName val="market_APOR4"/>
      <sheetName val="General_information4"/>
      <sheetName val="TP_K9K-2604"/>
      <sheetName val="Pflege_Monate4"/>
      <sheetName val="_Cycle_Time_Tables4"/>
      <sheetName val="CSM_with_CKD4"/>
      <sheetName val="Europe_PU-14"/>
      <sheetName val="Part_Desriptions4"/>
      <sheetName val="PFM_Restricted_Standard_Parts4"/>
      <sheetName val="Tax_Rates4"/>
      <sheetName val="Read_me_first4"/>
      <sheetName val="Parts_Name_List_4"/>
      <sheetName val="ASSY_PART_BLOCK4"/>
      <sheetName val="K440_can_wake-up_logic4"/>
      <sheetName val="PAP_9Q_EU00_2103014"/>
      <sheetName val="Plant_Data4"/>
      <sheetName val="MASTER,_Assy_Month4"/>
      <sheetName val="Current_Status4"/>
      <sheetName val="LPP_SHEET4"/>
      <sheetName val="selling_prices4"/>
      <sheetName val="FUNCTION_CHART4"/>
      <sheetName val="Headlamp_Housing_Load4"/>
      <sheetName val="Headlamp_Lens_Load4"/>
      <sheetName val="Headlamp_Reflector_Load4"/>
      <sheetName val="K4見積_(訂正)_(2)4"/>
      <sheetName val="094W原紙_4"/>
      <sheetName val="Spec(1)_Thailand5"/>
      <sheetName val="Master_Parts_List5"/>
      <sheetName val="JT3_0견적-구15"/>
      <sheetName val="List_FunctionGroups5"/>
      <sheetName val="R_Prgr_Fin_Data5"/>
      <sheetName val="R_Ph__1_Entry5"/>
      <sheetName val="R_Prgr__Budg__Sum_5"/>
      <sheetName val="R_Prod__Cost_Sum_5"/>
      <sheetName val="R_Business_Plan_Form5"/>
      <sheetName val="R_P&amp;L5"/>
      <sheetName val="R_FJS_CAR5"/>
      <sheetName val="Lista_Congelada_05-085"/>
      <sheetName val="VT_BN_Check_9_5_20125"/>
      <sheetName val="After_Sales_Supplier_#'s5"/>
      <sheetName val="MPL_技連5"/>
      <sheetName val="342E_BLOCK5"/>
      <sheetName val="MAKER2_(PRC)5"/>
      <sheetName val="contract_AGER5"/>
      <sheetName val="contract_APOR5"/>
      <sheetName val="market_AGER5"/>
      <sheetName val="market_APOR5"/>
      <sheetName val="General_information5"/>
      <sheetName val="TP_K9K-2605"/>
      <sheetName val="Pflege_Monate5"/>
      <sheetName val="_Cycle_Time_Tables5"/>
      <sheetName val="CSM_with_CKD5"/>
      <sheetName val="Europe_PU-15"/>
      <sheetName val="Part_Desriptions5"/>
      <sheetName val="PFM_Restricted_Standard_Parts5"/>
      <sheetName val="Tax_Rates5"/>
      <sheetName val="Read_me_first5"/>
      <sheetName val="Parts_Name_List_5"/>
      <sheetName val="ASSY_PART_BLOCK5"/>
      <sheetName val="K440_can_wake-up_logic5"/>
      <sheetName val="PAP_9Q_EU00_2103015"/>
      <sheetName val="Plant_Data5"/>
      <sheetName val="MASTER,_Assy_Month5"/>
      <sheetName val="Current_Status5"/>
      <sheetName val="LPP_SHEET5"/>
      <sheetName val="selling_prices5"/>
      <sheetName val="FUNCTION_CHART5"/>
      <sheetName val="Headlamp_Housing_Load5"/>
      <sheetName val="Headlamp_Lens_Load5"/>
      <sheetName val="Headlamp_Reflector_Load5"/>
      <sheetName val="K4見積_(訂正)_(2)5"/>
      <sheetName val="094W原紙_5"/>
      <sheetName val="Spec(1)_Thailand9"/>
      <sheetName val="Master_Parts_List9"/>
      <sheetName val="JT3_0견적-구19"/>
      <sheetName val="List_FunctionGroups9"/>
      <sheetName val="R_Prgr_Fin_Data9"/>
      <sheetName val="R_Ph__1_Entry9"/>
      <sheetName val="R_Prgr__Budg__Sum_9"/>
      <sheetName val="R_Prod__Cost_Sum_9"/>
      <sheetName val="R_Business_Plan_Form9"/>
      <sheetName val="R_P&amp;L9"/>
      <sheetName val="R_FJS_CAR9"/>
      <sheetName val="Lista_Congelada_05-089"/>
      <sheetName val="VT_BN_Check_9_5_20129"/>
      <sheetName val="After_Sales_Supplier_#'s9"/>
      <sheetName val="MPL_技連9"/>
      <sheetName val="342E_BLOCK9"/>
      <sheetName val="MAKER2_(PRC)9"/>
      <sheetName val="contract_AGER9"/>
      <sheetName val="contract_APOR9"/>
      <sheetName val="market_AGER9"/>
      <sheetName val="market_APOR9"/>
      <sheetName val="General_information9"/>
      <sheetName val="TP_K9K-2609"/>
      <sheetName val="Pflege_Monate9"/>
      <sheetName val="_Cycle_Time_Tables9"/>
      <sheetName val="CSM_with_CKD9"/>
      <sheetName val="Europe_PU-19"/>
      <sheetName val="Part_Desriptions9"/>
      <sheetName val="PFM_Restricted_Standard_Parts9"/>
      <sheetName val="Tax_Rates9"/>
      <sheetName val="Read_me_first9"/>
      <sheetName val="Parts_Name_List_9"/>
      <sheetName val="ASSY_PART_BLOCK9"/>
      <sheetName val="K440_can_wake-up_logic9"/>
      <sheetName val="PAP_9Q_EU00_2103019"/>
      <sheetName val="Plant_Data9"/>
      <sheetName val="MASTER,_Assy_Month9"/>
      <sheetName val="Current_Status9"/>
      <sheetName val="LPP_SHEET9"/>
      <sheetName val="selling_prices9"/>
      <sheetName val="FUNCTION_CHART9"/>
      <sheetName val="Headlamp_Housing_Load9"/>
      <sheetName val="Headlamp_Lens_Load9"/>
      <sheetName val="Headlamp_Reflector_Load9"/>
      <sheetName val="K4見積_(訂正)_(2)9"/>
      <sheetName val="094W原紙_9"/>
      <sheetName val="Spec(1)_Thailand8"/>
      <sheetName val="Master_Parts_List8"/>
      <sheetName val="JT3_0견적-구18"/>
      <sheetName val="List_FunctionGroups8"/>
      <sheetName val="R_Prgr_Fin_Data8"/>
      <sheetName val="R_Ph__1_Entry8"/>
      <sheetName val="R_Prgr__Budg__Sum_8"/>
      <sheetName val="R_Prod__Cost_Sum_8"/>
      <sheetName val="R_Business_Plan_Form8"/>
      <sheetName val="R_P&amp;L8"/>
      <sheetName val="R_FJS_CAR8"/>
      <sheetName val="Lista_Congelada_05-088"/>
      <sheetName val="VT_BN_Check_9_5_20128"/>
      <sheetName val="After_Sales_Supplier_#'s8"/>
      <sheetName val="MPL_技連8"/>
      <sheetName val="342E_BLOCK8"/>
      <sheetName val="MAKER2_(PRC)8"/>
      <sheetName val="contract_AGER8"/>
      <sheetName val="contract_APOR8"/>
      <sheetName val="market_AGER8"/>
      <sheetName val="market_APOR8"/>
      <sheetName val="General_information8"/>
      <sheetName val="TP_K9K-2608"/>
      <sheetName val="Pflege_Monate8"/>
      <sheetName val="_Cycle_Time_Tables8"/>
      <sheetName val="CSM_with_CKD8"/>
      <sheetName val="Europe_PU-18"/>
      <sheetName val="Part_Desriptions8"/>
      <sheetName val="PFM_Restricted_Standard_Parts8"/>
      <sheetName val="Tax_Rates8"/>
      <sheetName val="Read_me_first8"/>
      <sheetName val="Parts_Name_List_8"/>
      <sheetName val="ASSY_PART_BLOCK8"/>
      <sheetName val="K440_can_wake-up_logic8"/>
      <sheetName val="PAP_9Q_EU00_2103018"/>
      <sheetName val="Plant_Data8"/>
      <sheetName val="MASTER,_Assy_Month8"/>
      <sheetName val="Current_Status8"/>
      <sheetName val="LPP_SHEET8"/>
      <sheetName val="selling_prices8"/>
      <sheetName val="FUNCTION_CHART8"/>
      <sheetName val="Headlamp_Housing_Load8"/>
      <sheetName val="Headlamp_Lens_Load8"/>
      <sheetName val="Headlamp_Reflector_Load8"/>
      <sheetName val="K4見積_(訂正)_(2)8"/>
      <sheetName val="094W原紙_8"/>
      <sheetName val="Spec(1)_Thailand16"/>
      <sheetName val="Master_Parts_List16"/>
      <sheetName val="JT3_0견적-구116"/>
      <sheetName val="List_FunctionGroups16"/>
      <sheetName val="R_Prgr_Fin_Data16"/>
      <sheetName val="R_Ph__1_Entry16"/>
      <sheetName val="R_Prgr__Budg__Sum_16"/>
      <sheetName val="R_Prod__Cost_Sum_16"/>
      <sheetName val="R_Business_Plan_Form16"/>
      <sheetName val="R_P&amp;L16"/>
      <sheetName val="R_FJS_CAR16"/>
      <sheetName val="Lista_Congelada_05-0816"/>
      <sheetName val="VT_BN_Check_9_5_201216"/>
      <sheetName val="After_Sales_Supplier_#'s16"/>
      <sheetName val="MPL_技連16"/>
      <sheetName val="342E_BLOCK16"/>
      <sheetName val="MAKER2_(PRC)16"/>
      <sheetName val="contract_AGER16"/>
      <sheetName val="contract_APOR16"/>
      <sheetName val="market_AGER16"/>
      <sheetName val="market_APOR16"/>
      <sheetName val="General_information16"/>
      <sheetName val="TP_K9K-26016"/>
      <sheetName val="Pflege_Monate16"/>
      <sheetName val="_Cycle_Time_Tables16"/>
      <sheetName val="CSM_with_CKD16"/>
      <sheetName val="Europe_PU-113"/>
      <sheetName val="Part_Desriptions13"/>
      <sheetName val="PFM_Restricted_Standard_Parts13"/>
      <sheetName val="Tax_Rates13"/>
      <sheetName val="Read_me_first13"/>
      <sheetName val="Parts_Name_List_13"/>
      <sheetName val="ASSY_PART_BLOCK13"/>
      <sheetName val="K440_can_wake-up_logic13"/>
      <sheetName val="PAP_9Q_EU00_21030113"/>
      <sheetName val="Plant_Data13"/>
      <sheetName val="MASTER,_Assy_Month13"/>
      <sheetName val="Current_Status13"/>
      <sheetName val="LPP_SHEET13"/>
      <sheetName val="selling_prices13"/>
      <sheetName val="FUNCTION_CHART13"/>
      <sheetName val="Headlamp_Housing_Load13"/>
      <sheetName val="Headlamp_Lens_Load13"/>
      <sheetName val="Headlamp_Reflector_Load13"/>
      <sheetName val="K4見積_(訂正)_(2)13"/>
      <sheetName val="094W原紙_13"/>
      <sheetName val="Spec(1)_Thailand11"/>
      <sheetName val="Master_Parts_List11"/>
      <sheetName val="JT3_0견적-구111"/>
      <sheetName val="List_FunctionGroups11"/>
      <sheetName val="R_Prgr_Fin_Data11"/>
      <sheetName val="R_Ph__1_Entry11"/>
      <sheetName val="R_Prgr__Budg__Sum_11"/>
      <sheetName val="R_Prod__Cost_Sum_11"/>
      <sheetName val="R_Business_Plan_Form11"/>
      <sheetName val="R_P&amp;L11"/>
      <sheetName val="R_FJS_CAR11"/>
      <sheetName val="Lista_Congelada_05-0811"/>
      <sheetName val="VT_BN_Check_9_5_201211"/>
      <sheetName val="After_Sales_Supplier_#'s11"/>
      <sheetName val="MPL_技連11"/>
      <sheetName val="342E_BLOCK11"/>
      <sheetName val="MAKER2_(PRC)11"/>
      <sheetName val="contract_AGER11"/>
      <sheetName val="contract_APOR11"/>
      <sheetName val="market_AGER11"/>
      <sheetName val="market_APOR11"/>
      <sheetName val="General_information11"/>
      <sheetName val="TP_K9K-26011"/>
      <sheetName val="Pflege_Monate11"/>
      <sheetName val="_Cycle_Time_Tables11"/>
      <sheetName val="CSM_with_CKD11"/>
      <sheetName val="Spec(1)_Thailand10"/>
      <sheetName val="Master_Parts_List10"/>
      <sheetName val="JT3_0견적-구110"/>
      <sheetName val="List_FunctionGroups10"/>
      <sheetName val="R_Prgr_Fin_Data10"/>
      <sheetName val="R_Ph__1_Entry10"/>
      <sheetName val="R_Prgr__Budg__Sum_10"/>
      <sheetName val="R_Prod__Cost_Sum_10"/>
      <sheetName val="R_Business_Plan_Form10"/>
      <sheetName val="R_P&amp;L10"/>
      <sheetName val="R_FJS_CAR10"/>
      <sheetName val="Lista_Congelada_05-0810"/>
      <sheetName val="VT_BN_Check_9_5_201210"/>
      <sheetName val="After_Sales_Supplier_#'s10"/>
      <sheetName val="MPL_技連10"/>
      <sheetName val="342E_BLOCK10"/>
      <sheetName val="MAKER2_(PRC)10"/>
      <sheetName val="contract_AGER10"/>
      <sheetName val="contract_APOR10"/>
      <sheetName val="market_AGER10"/>
      <sheetName val="market_APOR10"/>
      <sheetName val="General_information10"/>
      <sheetName val="TP_K9K-26010"/>
      <sheetName val="Pflege_Monate10"/>
      <sheetName val="_Cycle_Time_Tables10"/>
      <sheetName val="CSM_with_CKD10"/>
      <sheetName val="Europe_PU-110"/>
      <sheetName val="Part_Desriptions10"/>
      <sheetName val="PFM_Restricted_Standard_Parts10"/>
      <sheetName val="Tax_Rates10"/>
      <sheetName val="Read_me_first10"/>
      <sheetName val="Parts_Name_List_10"/>
      <sheetName val="ASSY_PART_BLOCK10"/>
      <sheetName val="K440_can_wake-up_logic10"/>
      <sheetName val="PAP_9Q_EU00_21030110"/>
      <sheetName val="Plant_Data10"/>
      <sheetName val="MASTER,_Assy_Month10"/>
      <sheetName val="Current_Status10"/>
      <sheetName val="LPP_SHEET10"/>
      <sheetName val="selling_prices10"/>
      <sheetName val="FUNCTION_CHART10"/>
      <sheetName val="Headlamp_Housing_Load10"/>
      <sheetName val="Headlamp_Lens_Load10"/>
      <sheetName val="Headlamp_Reflector_Load10"/>
      <sheetName val="K4見積_(訂正)_(2)10"/>
      <sheetName val="094W原紙_10"/>
      <sheetName val="Spec(1)_Thailand12"/>
      <sheetName val="Master_Parts_List12"/>
      <sheetName val="JT3_0견적-구112"/>
      <sheetName val="List_FunctionGroups12"/>
      <sheetName val="R_Prgr_Fin_Data12"/>
      <sheetName val="R_Ph__1_Entry12"/>
      <sheetName val="R_Prgr__Budg__Sum_12"/>
      <sheetName val="R_Prod__Cost_Sum_12"/>
      <sheetName val="R_Business_Plan_Form12"/>
      <sheetName val="R_P&amp;L12"/>
      <sheetName val="R_FJS_CAR12"/>
      <sheetName val="Lista_Congelada_05-0812"/>
      <sheetName val="VT_BN_Check_9_5_201212"/>
      <sheetName val="After_Sales_Supplier_#'s12"/>
      <sheetName val="MPL_技連12"/>
      <sheetName val="342E_BLOCK12"/>
      <sheetName val="MAKER2_(PRC)12"/>
      <sheetName val="contract_AGER12"/>
      <sheetName val="contract_APOR12"/>
      <sheetName val="market_AGER12"/>
      <sheetName val="market_APOR12"/>
      <sheetName val="General_information12"/>
      <sheetName val="TP_K9K-26012"/>
      <sheetName val="Pflege_Monate12"/>
      <sheetName val="_Cycle_Time_Tables12"/>
      <sheetName val="CSM_with_CKD12"/>
      <sheetName val="Spec(1)_Thailand13"/>
      <sheetName val="Master_Parts_List13"/>
      <sheetName val="JT3_0견적-구113"/>
      <sheetName val="List_FunctionGroups13"/>
      <sheetName val="R_Prgr_Fin_Data13"/>
      <sheetName val="R_Ph__1_Entry13"/>
      <sheetName val="R_Prgr__Budg__Sum_13"/>
      <sheetName val="R_Prod__Cost_Sum_13"/>
      <sheetName val="R_Business_Plan_Form13"/>
      <sheetName val="R_P&amp;L13"/>
      <sheetName val="R_FJS_CAR13"/>
      <sheetName val="Lista_Congelada_05-0813"/>
      <sheetName val="VT_BN_Check_9_5_201213"/>
      <sheetName val="After_Sales_Supplier_#'s13"/>
      <sheetName val="MPL_技連13"/>
      <sheetName val="342E_BLOCK13"/>
      <sheetName val="MAKER2_(PRC)13"/>
      <sheetName val="contract_AGER13"/>
      <sheetName val="contract_APOR13"/>
      <sheetName val="market_AGER13"/>
      <sheetName val="market_APOR13"/>
      <sheetName val="General_information13"/>
      <sheetName val="TP_K9K-26013"/>
      <sheetName val="Pflege_Monate13"/>
      <sheetName val="_Cycle_Time_Tables13"/>
      <sheetName val="CSM_with_CKD13"/>
      <sheetName val="Spec(1)_Thailand14"/>
      <sheetName val="Master_Parts_List14"/>
      <sheetName val="JT3_0견적-구114"/>
      <sheetName val="List_FunctionGroups14"/>
      <sheetName val="R_Prgr_Fin_Data14"/>
      <sheetName val="R_Ph__1_Entry14"/>
      <sheetName val="R_Prgr__Budg__Sum_14"/>
      <sheetName val="R_Prod__Cost_Sum_14"/>
      <sheetName val="R_Business_Plan_Form14"/>
      <sheetName val="R_P&amp;L14"/>
      <sheetName val="R_FJS_CAR14"/>
      <sheetName val="Lista_Congelada_05-0814"/>
      <sheetName val="VT_BN_Check_9_5_201214"/>
      <sheetName val="After_Sales_Supplier_#'s14"/>
      <sheetName val="MPL_技連14"/>
      <sheetName val="342E_BLOCK14"/>
      <sheetName val="MAKER2_(PRC)14"/>
      <sheetName val="contract_AGER14"/>
      <sheetName val="contract_APOR14"/>
      <sheetName val="market_AGER14"/>
      <sheetName val="market_APOR14"/>
      <sheetName val="General_information14"/>
      <sheetName val="TP_K9K-26014"/>
      <sheetName val="Pflege_Monate14"/>
      <sheetName val="_Cycle_Time_Tables14"/>
      <sheetName val="CSM_with_CKD14"/>
      <sheetName val="Europe_PU-111"/>
      <sheetName val="Part_Desriptions11"/>
      <sheetName val="PFM_Restricted_Standard_Parts11"/>
      <sheetName val="Tax_Rates11"/>
      <sheetName val="Read_me_first11"/>
      <sheetName val="Parts_Name_List_11"/>
      <sheetName val="ASSY_PART_BLOCK11"/>
      <sheetName val="K440_can_wake-up_logic11"/>
      <sheetName val="PAP_9Q_EU00_21030111"/>
      <sheetName val="Plant_Data11"/>
      <sheetName val="MASTER,_Assy_Month11"/>
      <sheetName val="Current_Status11"/>
      <sheetName val="LPP_SHEET11"/>
      <sheetName val="selling_prices11"/>
      <sheetName val="FUNCTION_CHART11"/>
      <sheetName val="Headlamp_Housing_Load11"/>
      <sheetName val="Headlamp_Lens_Load11"/>
      <sheetName val="Headlamp_Reflector_Load11"/>
      <sheetName val="K4見積_(訂正)_(2)11"/>
      <sheetName val="094W原紙_11"/>
      <sheetName val="Spec(1)_Thailand15"/>
      <sheetName val="Master_Parts_List15"/>
      <sheetName val="JT3_0견적-구115"/>
      <sheetName val="List_FunctionGroups15"/>
      <sheetName val="R_Prgr_Fin_Data15"/>
      <sheetName val="R_Ph__1_Entry15"/>
      <sheetName val="R_Prgr__Budg__Sum_15"/>
      <sheetName val="R_Prod__Cost_Sum_15"/>
      <sheetName val="R_Business_Plan_Form15"/>
      <sheetName val="R_P&amp;L15"/>
      <sheetName val="R_FJS_CAR15"/>
      <sheetName val="Lista_Congelada_05-0815"/>
      <sheetName val="VT_BN_Check_9_5_201215"/>
      <sheetName val="After_Sales_Supplier_#'s15"/>
      <sheetName val="MPL_技連15"/>
      <sheetName val="342E_BLOCK15"/>
      <sheetName val="MAKER2_(PRC)15"/>
      <sheetName val="contract_AGER15"/>
      <sheetName val="contract_APOR15"/>
      <sheetName val="market_AGER15"/>
      <sheetName val="market_APOR15"/>
      <sheetName val="General_information15"/>
      <sheetName val="TP_K9K-26015"/>
      <sheetName val="Pflege_Monate15"/>
      <sheetName val="_Cycle_Time_Tables15"/>
      <sheetName val="CSM_with_CKD15"/>
      <sheetName val="Europe_PU-112"/>
      <sheetName val="Part_Desriptions12"/>
      <sheetName val="PFM_Restricted_Standard_Parts12"/>
      <sheetName val="Tax_Rates12"/>
      <sheetName val="Read_me_first12"/>
      <sheetName val="Parts_Name_List_12"/>
      <sheetName val="ASSY_PART_BLOCK12"/>
      <sheetName val="K440_can_wake-up_logic12"/>
      <sheetName val="PAP_9Q_EU00_21030112"/>
      <sheetName val="Plant_Data12"/>
      <sheetName val="MASTER,_Assy_Month12"/>
      <sheetName val="Current_Status12"/>
      <sheetName val="LPP_SHEET12"/>
      <sheetName val="selling_prices12"/>
      <sheetName val="FUNCTION_CHART12"/>
      <sheetName val="Headlamp_Housing_Load12"/>
      <sheetName val="Headlamp_Lens_Load12"/>
      <sheetName val="Headlamp_Reflector_Load12"/>
      <sheetName val="K4見積_(訂正)_(2)12"/>
      <sheetName val="094W原紙_12"/>
      <sheetName val="Spec(1)_Thailand17"/>
      <sheetName val="Master_Parts_List17"/>
      <sheetName val="JT3_0견적-구117"/>
      <sheetName val="List_FunctionGroups17"/>
      <sheetName val="R_Prgr_Fin_Data17"/>
      <sheetName val="R_Ph__1_Entry17"/>
      <sheetName val="R_Prgr__Budg__Sum_17"/>
      <sheetName val="R_Prod__Cost_Sum_17"/>
      <sheetName val="R_Business_Plan_Form17"/>
      <sheetName val="R_P&amp;L17"/>
      <sheetName val="R_FJS_CAR17"/>
      <sheetName val="Lista_Congelada_05-0817"/>
      <sheetName val="VT_BN_Check_9_5_201217"/>
      <sheetName val="After_Sales_Supplier_#'s17"/>
      <sheetName val="MPL_技連17"/>
      <sheetName val="342E_BLOCK17"/>
      <sheetName val="MAKER2_(PRC)17"/>
      <sheetName val="contract_AGER17"/>
      <sheetName val="contract_APOR17"/>
      <sheetName val="market_AGER17"/>
      <sheetName val="market_APOR17"/>
      <sheetName val="General_information17"/>
      <sheetName val="TP_K9K-26017"/>
      <sheetName val="Pflege_Monate17"/>
      <sheetName val="_Cycle_Time_Tables17"/>
      <sheetName val="CSM_with_CKD17"/>
      <sheetName val="Europe_PU-114"/>
      <sheetName val="Part_Desriptions14"/>
      <sheetName val="PFM_Restricted_Standard_Parts14"/>
      <sheetName val="Tax_Rates14"/>
      <sheetName val="Read_me_first14"/>
      <sheetName val="Parts_Name_List_14"/>
      <sheetName val="ASSY_PART_BLOCK14"/>
      <sheetName val="K440_can_wake-up_logic14"/>
      <sheetName val="PAP_9Q_EU00_21030114"/>
      <sheetName val="Plant_Data14"/>
      <sheetName val="MASTER,_Assy_Month14"/>
      <sheetName val="Current_Status14"/>
      <sheetName val="LPP_SHEET14"/>
      <sheetName val="selling_prices14"/>
      <sheetName val="FUNCTION_CHART14"/>
      <sheetName val="Headlamp_Housing_Load14"/>
      <sheetName val="Headlamp_Lens_Load14"/>
      <sheetName val="Headlamp_Reflector_Load14"/>
      <sheetName val="K4見積_(訂正)_(2)14"/>
      <sheetName val="094W原紙_14"/>
      <sheetName val="Spec(1)_Thailand20"/>
      <sheetName val="Master_Parts_List20"/>
      <sheetName val="JT3_0견적-구120"/>
      <sheetName val="List_FunctionGroups20"/>
      <sheetName val="R_Prgr_Fin_Data20"/>
      <sheetName val="R_Ph__1_Entry20"/>
      <sheetName val="R_Prgr__Budg__Sum_20"/>
      <sheetName val="R_Prod__Cost_Sum_20"/>
      <sheetName val="R_Business_Plan_Form20"/>
      <sheetName val="R_P&amp;L20"/>
      <sheetName val="R_FJS_CAR20"/>
      <sheetName val="Lista_Congelada_05-0820"/>
      <sheetName val="VT_BN_Check_9_5_201220"/>
      <sheetName val="After_Sales_Supplier_#'s20"/>
      <sheetName val="MPL_技連20"/>
      <sheetName val="342E_BLOCK20"/>
      <sheetName val="MAKER2_(PRC)20"/>
      <sheetName val="contract_AGER20"/>
      <sheetName val="contract_APOR20"/>
      <sheetName val="market_AGER20"/>
      <sheetName val="market_APOR20"/>
      <sheetName val="General_information20"/>
      <sheetName val="TP_K9K-26020"/>
      <sheetName val="Pflege_Monate20"/>
      <sheetName val="_Cycle_Time_Tables20"/>
      <sheetName val="CSM_with_CKD20"/>
      <sheetName val="Europe_PU-117"/>
      <sheetName val="Part_Desriptions17"/>
      <sheetName val="PFM_Restricted_Standard_Parts17"/>
      <sheetName val="Tax_Rates17"/>
      <sheetName val="Read_me_first17"/>
      <sheetName val="Parts_Name_List_17"/>
      <sheetName val="ASSY_PART_BLOCK17"/>
      <sheetName val="K440_can_wake-up_logic17"/>
      <sheetName val="PAP_9Q_EU00_21030117"/>
      <sheetName val="Plant_Data17"/>
      <sheetName val="MASTER,_Assy_Month17"/>
      <sheetName val="Current_Status17"/>
      <sheetName val="LPP_SHEET17"/>
      <sheetName val="selling_prices17"/>
      <sheetName val="FUNCTION_CHART17"/>
      <sheetName val="Headlamp_Housing_Load17"/>
      <sheetName val="Headlamp_Lens_Load17"/>
      <sheetName val="Headlamp_Reflector_Load17"/>
      <sheetName val="K4見積_(訂正)_(2)17"/>
      <sheetName val="094W原紙_17"/>
      <sheetName val="Spec(1)_Thailand19"/>
      <sheetName val="Master_Parts_List19"/>
      <sheetName val="JT3_0견적-구119"/>
      <sheetName val="List_FunctionGroups19"/>
      <sheetName val="R_Prgr_Fin_Data19"/>
      <sheetName val="R_Ph__1_Entry19"/>
      <sheetName val="R_Prgr__Budg__Sum_19"/>
      <sheetName val="R_Prod__Cost_Sum_19"/>
      <sheetName val="R_Business_Plan_Form19"/>
      <sheetName val="R_P&amp;L19"/>
      <sheetName val="R_FJS_CAR19"/>
      <sheetName val="Lista_Congelada_05-0819"/>
      <sheetName val="VT_BN_Check_9_5_201219"/>
      <sheetName val="After_Sales_Supplier_#'s19"/>
      <sheetName val="MPL_技連19"/>
      <sheetName val="342E_BLOCK19"/>
      <sheetName val="MAKER2_(PRC)19"/>
      <sheetName val="contract_AGER19"/>
      <sheetName val="contract_APOR19"/>
      <sheetName val="market_AGER19"/>
      <sheetName val="market_APOR19"/>
      <sheetName val="General_information19"/>
      <sheetName val="TP_K9K-26019"/>
      <sheetName val="Pflege_Monate19"/>
      <sheetName val="_Cycle_Time_Tables19"/>
      <sheetName val="CSM_with_CKD19"/>
      <sheetName val="Europe_PU-116"/>
      <sheetName val="Part_Desriptions16"/>
      <sheetName val="PFM_Restricted_Standard_Parts16"/>
      <sheetName val="Tax_Rates16"/>
      <sheetName val="Read_me_first16"/>
      <sheetName val="Parts_Name_List_16"/>
      <sheetName val="ASSY_PART_BLOCK16"/>
      <sheetName val="K440_can_wake-up_logic16"/>
      <sheetName val="PAP_9Q_EU00_21030116"/>
      <sheetName val="Plant_Data16"/>
      <sheetName val="MASTER,_Assy_Month16"/>
      <sheetName val="Current_Status16"/>
      <sheetName val="LPP_SHEET16"/>
      <sheetName val="selling_prices16"/>
      <sheetName val="FUNCTION_CHART16"/>
      <sheetName val="Headlamp_Housing_Load16"/>
      <sheetName val="Headlamp_Lens_Load16"/>
      <sheetName val="Headlamp_Reflector_Load16"/>
      <sheetName val="K4見積_(訂正)_(2)16"/>
      <sheetName val="094W原紙_16"/>
      <sheetName val="Spec(1)_Thailand18"/>
      <sheetName val="Master_Parts_List18"/>
      <sheetName val="JT3_0견적-구118"/>
      <sheetName val="List_FunctionGroups18"/>
      <sheetName val="R_Prgr_Fin_Data18"/>
      <sheetName val="R_Ph__1_Entry18"/>
      <sheetName val="R_Prgr__Budg__Sum_18"/>
      <sheetName val="R_Prod__Cost_Sum_18"/>
      <sheetName val="R_Business_Plan_Form18"/>
      <sheetName val="R_P&amp;L18"/>
      <sheetName val="R_FJS_CAR18"/>
      <sheetName val="Lista_Congelada_05-0818"/>
      <sheetName val="VT_BN_Check_9_5_201218"/>
      <sheetName val="After_Sales_Supplier_#'s18"/>
      <sheetName val="MPL_技連18"/>
      <sheetName val="342E_BLOCK18"/>
      <sheetName val="MAKER2_(PRC)18"/>
      <sheetName val="contract_AGER18"/>
      <sheetName val="contract_APOR18"/>
      <sheetName val="market_AGER18"/>
      <sheetName val="market_APOR18"/>
      <sheetName val="General_information18"/>
      <sheetName val="TP_K9K-26018"/>
      <sheetName val="Pflege_Monate18"/>
      <sheetName val="_Cycle_Time_Tables18"/>
      <sheetName val="CSM_with_CKD18"/>
      <sheetName val="Europe_PU-115"/>
      <sheetName val="Part_Desriptions15"/>
      <sheetName val="PFM_Restricted_Standard_Parts15"/>
      <sheetName val="Tax_Rates15"/>
      <sheetName val="Read_me_first15"/>
      <sheetName val="Parts_Name_List_15"/>
      <sheetName val="ASSY_PART_BLOCK15"/>
      <sheetName val="K440_can_wake-up_logic15"/>
      <sheetName val="PAP_9Q_EU00_21030115"/>
      <sheetName val="Plant_Data15"/>
      <sheetName val="MASTER,_Assy_Month15"/>
      <sheetName val="Current_Status15"/>
      <sheetName val="LPP_SHEET15"/>
      <sheetName val="selling_prices15"/>
      <sheetName val="FUNCTION_CHART15"/>
      <sheetName val="Headlamp_Housing_Load15"/>
      <sheetName val="Headlamp_Lens_Load15"/>
      <sheetName val="Headlamp_Reflector_Load15"/>
      <sheetName val="K4見積_(訂正)_(2)15"/>
      <sheetName val="094W原紙_15"/>
      <sheetName val="Spec(1)_Thailand22"/>
      <sheetName val="Master_Parts_List22"/>
      <sheetName val="JT3_0견적-구122"/>
      <sheetName val="List_FunctionGroups22"/>
      <sheetName val="R_Prgr_Fin_Data22"/>
      <sheetName val="R_Ph__1_Entry22"/>
      <sheetName val="R_Prgr__Budg__Sum_22"/>
      <sheetName val="R_Prod__Cost_Sum_22"/>
      <sheetName val="R_Business_Plan_Form22"/>
      <sheetName val="R_P&amp;L22"/>
      <sheetName val="R_FJS_CAR22"/>
      <sheetName val="Lista_Congelada_05-0822"/>
      <sheetName val="VT_BN_Check_9_5_201222"/>
      <sheetName val="After_Sales_Supplier_#'s22"/>
      <sheetName val="MPL_技連22"/>
      <sheetName val="342E_BLOCK22"/>
      <sheetName val="MAKER2_(PRC)22"/>
      <sheetName val="contract_AGER22"/>
      <sheetName val="contract_APOR22"/>
      <sheetName val="market_AGER22"/>
      <sheetName val="market_APOR22"/>
      <sheetName val="General_information22"/>
      <sheetName val="TP_K9K-26022"/>
      <sheetName val="Pflege_Monate22"/>
      <sheetName val="_Cycle_Time_Tables22"/>
      <sheetName val="CSM_with_CKD22"/>
      <sheetName val="Europe_PU-119"/>
      <sheetName val="Part_Desriptions19"/>
      <sheetName val="PFM_Restricted_Standard_Parts19"/>
      <sheetName val="Tax_Rates19"/>
      <sheetName val="Read_me_first19"/>
      <sheetName val="Parts_Name_List_19"/>
      <sheetName val="ASSY_PART_BLOCK19"/>
      <sheetName val="K440_can_wake-up_logic19"/>
      <sheetName val="PAP_9Q_EU00_21030119"/>
      <sheetName val="Plant_Data19"/>
      <sheetName val="MASTER,_Assy_Month19"/>
      <sheetName val="Current_Status19"/>
      <sheetName val="LPP_SHEET19"/>
      <sheetName val="selling_prices19"/>
      <sheetName val="FUNCTION_CHART19"/>
      <sheetName val="Headlamp_Housing_Load19"/>
      <sheetName val="Headlamp_Lens_Load19"/>
      <sheetName val="Headlamp_Reflector_Load19"/>
      <sheetName val="K4見積_(訂正)_(2)19"/>
      <sheetName val="094W原紙_19"/>
      <sheetName val="Spec(1)_Thailand21"/>
      <sheetName val="Master_Parts_List21"/>
      <sheetName val="JT3_0견적-구121"/>
      <sheetName val="List_FunctionGroups21"/>
      <sheetName val="R_Prgr_Fin_Data21"/>
      <sheetName val="R_Ph__1_Entry21"/>
      <sheetName val="R_Prgr__Budg__Sum_21"/>
      <sheetName val="R_Prod__Cost_Sum_21"/>
      <sheetName val="R_Business_Plan_Form21"/>
      <sheetName val="R_P&amp;L21"/>
      <sheetName val="R_FJS_CAR21"/>
      <sheetName val="Lista_Congelada_05-0821"/>
      <sheetName val="VT_BN_Check_9_5_201221"/>
      <sheetName val="After_Sales_Supplier_#'s21"/>
      <sheetName val="MPL_技連21"/>
      <sheetName val="342E_BLOCK21"/>
      <sheetName val="MAKER2_(PRC)21"/>
      <sheetName val="contract_AGER21"/>
      <sheetName val="contract_APOR21"/>
      <sheetName val="market_AGER21"/>
      <sheetName val="market_APOR21"/>
      <sheetName val="General_information21"/>
      <sheetName val="TP_K9K-26021"/>
      <sheetName val="Pflege_Monate21"/>
      <sheetName val="_Cycle_Time_Tables21"/>
      <sheetName val="CSM_with_CKD21"/>
      <sheetName val="Europe_PU-118"/>
      <sheetName val="Part_Desriptions18"/>
      <sheetName val="PFM_Restricted_Standard_Parts18"/>
      <sheetName val="Tax_Rates18"/>
      <sheetName val="Read_me_first18"/>
      <sheetName val="Parts_Name_List_18"/>
      <sheetName val="ASSY_PART_BLOCK18"/>
      <sheetName val="K440_can_wake-up_logic18"/>
      <sheetName val="PAP_9Q_EU00_21030118"/>
      <sheetName val="Plant_Data18"/>
      <sheetName val="MASTER,_Assy_Month18"/>
      <sheetName val="Current_Status18"/>
      <sheetName val="LPP_SHEET18"/>
      <sheetName val="selling_prices18"/>
      <sheetName val="FUNCTION_CHART18"/>
      <sheetName val="Headlamp_Housing_Load18"/>
      <sheetName val="Headlamp_Lens_Load18"/>
      <sheetName val="Headlamp_Reflector_Load18"/>
      <sheetName val="K4見積_(訂正)_(2)18"/>
      <sheetName val="094W原紙_18"/>
      <sheetName val="Spec(1)_Thailand24"/>
      <sheetName val="Master_Parts_List24"/>
      <sheetName val="JT3_0견적-구124"/>
      <sheetName val="List_FunctionGroups24"/>
      <sheetName val="R_Prgr_Fin_Data24"/>
      <sheetName val="R_Ph__1_Entry24"/>
      <sheetName val="R_Prgr__Budg__Sum_24"/>
      <sheetName val="R_Prod__Cost_Sum_24"/>
      <sheetName val="R_Business_Plan_Form24"/>
      <sheetName val="R_P&amp;L24"/>
      <sheetName val="R_FJS_CAR24"/>
      <sheetName val="Lista_Congelada_05-0824"/>
      <sheetName val="VT_BN_Check_9_5_201224"/>
      <sheetName val="After_Sales_Supplier_#'s24"/>
      <sheetName val="MPL_技連24"/>
      <sheetName val="342E_BLOCK24"/>
      <sheetName val="MAKER2_(PRC)24"/>
      <sheetName val="contract_AGER24"/>
      <sheetName val="contract_APOR24"/>
      <sheetName val="market_AGER24"/>
      <sheetName val="market_APOR24"/>
      <sheetName val="General_information24"/>
      <sheetName val="TP_K9K-26024"/>
      <sheetName val="Pflege_Monate24"/>
      <sheetName val="_Cycle_Time_Tables24"/>
      <sheetName val="CSM_with_CKD24"/>
      <sheetName val="Europe_PU-121"/>
      <sheetName val="Part_Desriptions21"/>
      <sheetName val="PFM_Restricted_Standard_Parts21"/>
      <sheetName val="Tax_Rates21"/>
      <sheetName val="Read_me_first21"/>
      <sheetName val="Parts_Name_List_21"/>
      <sheetName val="ASSY_PART_BLOCK21"/>
      <sheetName val="K440_can_wake-up_logic21"/>
      <sheetName val="PAP_9Q_EU00_21030121"/>
      <sheetName val="Plant_Data21"/>
      <sheetName val="MASTER,_Assy_Month21"/>
      <sheetName val="Current_Status21"/>
      <sheetName val="LPP_SHEET21"/>
      <sheetName val="selling_prices21"/>
      <sheetName val="FUNCTION_CHART21"/>
      <sheetName val="Headlamp_Housing_Load21"/>
      <sheetName val="Headlamp_Lens_Load21"/>
      <sheetName val="Headlamp_Reflector_Load21"/>
      <sheetName val="K4見積_(訂正)_(2)21"/>
      <sheetName val="094W原紙_21"/>
      <sheetName val="Spec(1)_Thailand23"/>
      <sheetName val="Master_Parts_List23"/>
      <sheetName val="JT3_0견적-구123"/>
      <sheetName val="List_FunctionGroups23"/>
      <sheetName val="R_Prgr_Fin_Data23"/>
      <sheetName val="R_Ph__1_Entry23"/>
      <sheetName val="R_Prgr__Budg__Sum_23"/>
      <sheetName val="R_Prod__Cost_Sum_23"/>
      <sheetName val="R_Business_Plan_Form23"/>
      <sheetName val="R_P&amp;L23"/>
      <sheetName val="R_FJS_CAR23"/>
      <sheetName val="Lista_Congelada_05-0823"/>
      <sheetName val="VT_BN_Check_9_5_201223"/>
      <sheetName val="After_Sales_Supplier_#'s23"/>
      <sheetName val="MPL_技連23"/>
      <sheetName val="342E_BLOCK23"/>
      <sheetName val="MAKER2_(PRC)23"/>
      <sheetName val="contract_AGER23"/>
      <sheetName val="contract_APOR23"/>
      <sheetName val="market_AGER23"/>
      <sheetName val="market_APOR23"/>
      <sheetName val="General_information23"/>
      <sheetName val="TP_K9K-26023"/>
      <sheetName val="Pflege_Monate23"/>
      <sheetName val="_Cycle_Time_Tables23"/>
      <sheetName val="CSM_with_CKD23"/>
      <sheetName val="Europe_PU-120"/>
      <sheetName val="Part_Desriptions20"/>
      <sheetName val="PFM_Restricted_Standard_Parts20"/>
      <sheetName val="Tax_Rates20"/>
      <sheetName val="Read_me_first20"/>
      <sheetName val="Parts_Name_List_20"/>
      <sheetName val="ASSY_PART_BLOCK20"/>
      <sheetName val="K440_can_wake-up_logic20"/>
      <sheetName val="PAP_9Q_EU00_21030120"/>
      <sheetName val="Plant_Data20"/>
      <sheetName val="MASTER,_Assy_Month20"/>
      <sheetName val="Current_Status20"/>
      <sheetName val="LPP_SHEET20"/>
      <sheetName val="selling_prices20"/>
      <sheetName val="FUNCTION_CHART20"/>
      <sheetName val="Headlamp_Housing_Load20"/>
      <sheetName val="Headlamp_Lens_Load20"/>
      <sheetName val="Headlamp_Reflector_Load20"/>
      <sheetName val="K4見積_(訂正)_(2)20"/>
      <sheetName val="094W原紙_20"/>
      <sheetName val="Spec(1)_Thailand25"/>
      <sheetName val="Master_Parts_List25"/>
      <sheetName val="JT3_0견적-구125"/>
      <sheetName val="List_FunctionGroups25"/>
      <sheetName val="R_Prgr_Fin_Data25"/>
      <sheetName val="R_Ph__1_Entry25"/>
      <sheetName val="R_Prgr__Budg__Sum_25"/>
      <sheetName val="R_Prod__Cost_Sum_25"/>
      <sheetName val="R_Business_Plan_Form25"/>
      <sheetName val="R_P&amp;L25"/>
      <sheetName val="R_FJS_CAR25"/>
      <sheetName val="Lista_Congelada_05-0825"/>
      <sheetName val="VT_BN_Check_9_5_201225"/>
      <sheetName val="After_Sales_Supplier_#'s25"/>
      <sheetName val="MPL_技連25"/>
      <sheetName val="342E_BLOCK25"/>
      <sheetName val="MAKER2_(PRC)25"/>
      <sheetName val="contract_AGER25"/>
      <sheetName val="contract_APOR25"/>
      <sheetName val="market_AGER25"/>
      <sheetName val="market_APOR25"/>
      <sheetName val="General_information25"/>
      <sheetName val="TP_K9K-26025"/>
      <sheetName val="Pflege_Monate25"/>
      <sheetName val="_Cycle_Time_Tables25"/>
      <sheetName val="CSM_with_CKD25"/>
      <sheetName val="Europe_PU-122"/>
      <sheetName val="Part_Desriptions22"/>
      <sheetName val="PFM_Restricted_Standard_Parts22"/>
      <sheetName val="Tax_Rates22"/>
      <sheetName val="Read_me_first22"/>
      <sheetName val="Parts_Name_List_22"/>
      <sheetName val="ASSY_PART_BLOCK22"/>
      <sheetName val="K440_can_wake-up_logic22"/>
      <sheetName val="PAP_9Q_EU00_21030122"/>
      <sheetName val="Plant_Data22"/>
      <sheetName val="MASTER,_Assy_Month22"/>
      <sheetName val="Current_Status22"/>
      <sheetName val="LPP_SHEET22"/>
      <sheetName val="selling_prices22"/>
      <sheetName val="FUNCTION_CHART22"/>
      <sheetName val="Headlamp_Housing_Load22"/>
      <sheetName val="Headlamp_Lens_Load22"/>
      <sheetName val="Headlamp_Reflector_Load22"/>
      <sheetName val="K4見積_(訂正)_(2)22"/>
      <sheetName val="094W原紙_22"/>
      <sheetName val="Spec(1)_Thailand26"/>
      <sheetName val="Master_Parts_List26"/>
      <sheetName val="JT3_0견적-구126"/>
      <sheetName val="List_FunctionGroups26"/>
      <sheetName val="R_Prgr_Fin_Data26"/>
      <sheetName val="R_Ph__1_Entry26"/>
      <sheetName val="R_Prgr__Budg__Sum_26"/>
      <sheetName val="R_Prod__Cost_Sum_26"/>
      <sheetName val="R_Business_Plan_Form26"/>
      <sheetName val="R_P&amp;L26"/>
      <sheetName val="R_FJS_CAR26"/>
      <sheetName val="Lista_Congelada_05-0826"/>
      <sheetName val="VT_BN_Check_9_5_201226"/>
      <sheetName val="After_Sales_Supplier_#'s26"/>
      <sheetName val="MPL_技連26"/>
      <sheetName val="342E_BLOCK26"/>
      <sheetName val="MAKER2_(PRC)26"/>
      <sheetName val="contract_AGER26"/>
      <sheetName val="contract_APOR26"/>
      <sheetName val="market_AGER26"/>
      <sheetName val="market_APOR26"/>
      <sheetName val="General_information26"/>
      <sheetName val="TP_K9K-26026"/>
      <sheetName val="Pflege_Monate26"/>
      <sheetName val="_Cycle_Time_Tables26"/>
      <sheetName val="CSM_with_CKD26"/>
      <sheetName val="Europe_PU-123"/>
      <sheetName val="Part_Desriptions23"/>
      <sheetName val="PFM_Restricted_Standard_Parts23"/>
      <sheetName val="Tax_Rates23"/>
      <sheetName val="Read_me_first23"/>
      <sheetName val="Parts_Name_List_23"/>
      <sheetName val="ASSY_PART_BLOCK23"/>
      <sheetName val="K440_can_wake-up_logic23"/>
      <sheetName val="PAP_9Q_EU00_21030123"/>
      <sheetName val="Plant_Data23"/>
      <sheetName val="MASTER,_Assy_Month23"/>
      <sheetName val="Current_Status23"/>
      <sheetName val="LPP_SHEET23"/>
      <sheetName val="selling_prices23"/>
      <sheetName val="FUNCTION_CHART23"/>
      <sheetName val="Headlamp_Housing_Load23"/>
      <sheetName val="Headlamp_Lens_Load23"/>
      <sheetName val="Headlamp_Reflector_Load23"/>
      <sheetName val="K4見積_(訂正)_(2)23"/>
      <sheetName val="094W原紙_23"/>
      <sheetName val="Spec(1)_Thailand30"/>
      <sheetName val="Master_Parts_List30"/>
      <sheetName val="JT3_0견적-구130"/>
      <sheetName val="List_FunctionGroups30"/>
      <sheetName val="R_Prgr_Fin_Data30"/>
      <sheetName val="R_Ph__1_Entry30"/>
      <sheetName val="R_Prgr__Budg__Sum_30"/>
      <sheetName val="R_Prod__Cost_Sum_30"/>
      <sheetName val="R_Business_Plan_Form30"/>
      <sheetName val="R_P&amp;L30"/>
      <sheetName val="R_FJS_CAR30"/>
      <sheetName val="Lista_Congelada_05-0830"/>
      <sheetName val="VT_BN_Check_9_5_201230"/>
      <sheetName val="After_Sales_Supplier_#'s30"/>
      <sheetName val="MPL_技連30"/>
      <sheetName val="342E_BLOCK30"/>
      <sheetName val="MAKER2_(PRC)30"/>
      <sheetName val="contract_AGER30"/>
      <sheetName val="contract_APOR30"/>
      <sheetName val="market_AGER30"/>
      <sheetName val="market_APOR30"/>
      <sheetName val="General_information30"/>
      <sheetName val="TP_K9K-26030"/>
      <sheetName val="Pflege_Monate30"/>
      <sheetName val="_Cycle_Time_Tables30"/>
      <sheetName val="CSM_with_CKD30"/>
      <sheetName val="Europe_PU-127"/>
      <sheetName val="Part_Desriptions27"/>
      <sheetName val="PFM_Restricted_Standard_Parts27"/>
      <sheetName val="Tax_Rates27"/>
      <sheetName val="Read_me_first27"/>
      <sheetName val="Parts_Name_List_27"/>
      <sheetName val="ASSY_PART_BLOCK27"/>
      <sheetName val="K440_can_wake-up_logic27"/>
      <sheetName val="PAP_9Q_EU00_21030127"/>
      <sheetName val="Plant_Data27"/>
      <sheetName val="MASTER,_Assy_Month27"/>
      <sheetName val="Current_Status27"/>
      <sheetName val="LPP_SHEET27"/>
      <sheetName val="selling_prices27"/>
      <sheetName val="FUNCTION_CHART27"/>
      <sheetName val="Headlamp_Housing_Load27"/>
      <sheetName val="Headlamp_Lens_Load27"/>
      <sheetName val="Headlamp_Reflector_Load27"/>
      <sheetName val="K4見積_(訂正)_(2)27"/>
      <sheetName val="094W原紙_27"/>
      <sheetName val="Spec(1)_Thailand29"/>
      <sheetName val="Master_Parts_List29"/>
      <sheetName val="JT3_0견적-구129"/>
      <sheetName val="List_FunctionGroups29"/>
      <sheetName val="R_Prgr_Fin_Data29"/>
      <sheetName val="R_Ph__1_Entry29"/>
      <sheetName val="R_Prgr__Budg__Sum_29"/>
      <sheetName val="R_Prod__Cost_Sum_29"/>
      <sheetName val="R_Business_Plan_Form29"/>
      <sheetName val="R_P&amp;L29"/>
      <sheetName val="R_FJS_CAR29"/>
      <sheetName val="Lista_Congelada_05-0829"/>
      <sheetName val="VT_BN_Check_9_5_201229"/>
      <sheetName val="After_Sales_Supplier_#'s29"/>
      <sheetName val="MPL_技連29"/>
      <sheetName val="342E_BLOCK29"/>
      <sheetName val="MAKER2_(PRC)29"/>
      <sheetName val="contract_AGER29"/>
      <sheetName val="contract_APOR29"/>
      <sheetName val="market_AGER29"/>
      <sheetName val="market_APOR29"/>
      <sheetName val="General_information29"/>
      <sheetName val="TP_K9K-26029"/>
      <sheetName val="Pflege_Monate29"/>
      <sheetName val="_Cycle_Time_Tables29"/>
      <sheetName val="CSM_with_CKD29"/>
      <sheetName val="Europe_PU-126"/>
      <sheetName val="Part_Desriptions26"/>
      <sheetName val="PFM_Restricted_Standard_Parts26"/>
      <sheetName val="Tax_Rates26"/>
      <sheetName val="Read_me_first26"/>
      <sheetName val="Parts_Name_List_26"/>
      <sheetName val="ASSY_PART_BLOCK26"/>
      <sheetName val="K440_can_wake-up_logic26"/>
      <sheetName val="PAP_9Q_EU00_21030126"/>
      <sheetName val="Plant_Data26"/>
      <sheetName val="MASTER,_Assy_Month26"/>
      <sheetName val="Current_Status26"/>
      <sheetName val="LPP_SHEET26"/>
      <sheetName val="selling_prices26"/>
      <sheetName val="FUNCTION_CHART26"/>
      <sheetName val="Headlamp_Housing_Load26"/>
      <sheetName val="Headlamp_Lens_Load26"/>
      <sheetName val="Headlamp_Reflector_Load26"/>
      <sheetName val="K4見積_(訂正)_(2)26"/>
      <sheetName val="094W原紙_26"/>
      <sheetName val="Spec(1)_Thailand28"/>
      <sheetName val="Master_Parts_List28"/>
      <sheetName val="JT3_0견적-구128"/>
      <sheetName val="List_FunctionGroups28"/>
      <sheetName val="R_Prgr_Fin_Data28"/>
      <sheetName val="R_Ph__1_Entry28"/>
      <sheetName val="R_Prgr__Budg__Sum_28"/>
      <sheetName val="R_Prod__Cost_Sum_28"/>
      <sheetName val="R_Business_Plan_Form28"/>
      <sheetName val="R_P&amp;L28"/>
      <sheetName val="R_FJS_CAR28"/>
      <sheetName val="Lista_Congelada_05-0828"/>
      <sheetName val="VT_BN_Check_9_5_201228"/>
      <sheetName val="After_Sales_Supplier_#'s28"/>
      <sheetName val="MPL_技連28"/>
      <sheetName val="342E_BLOCK28"/>
      <sheetName val="MAKER2_(PRC)28"/>
      <sheetName val="contract_AGER28"/>
      <sheetName val="contract_APOR28"/>
      <sheetName val="market_AGER28"/>
      <sheetName val="market_APOR28"/>
      <sheetName val="General_information28"/>
      <sheetName val="TP_K9K-26028"/>
      <sheetName val="Pflege_Monate28"/>
      <sheetName val="_Cycle_Time_Tables28"/>
      <sheetName val="CSM_with_CKD28"/>
      <sheetName val="Europe_PU-125"/>
      <sheetName val="Part_Desriptions25"/>
      <sheetName val="PFM_Restricted_Standard_Parts25"/>
      <sheetName val="Tax_Rates25"/>
      <sheetName val="Read_me_first25"/>
      <sheetName val="Parts_Name_List_25"/>
      <sheetName val="ASSY_PART_BLOCK25"/>
      <sheetName val="K440_can_wake-up_logic25"/>
      <sheetName val="PAP_9Q_EU00_21030125"/>
      <sheetName val="Plant_Data25"/>
      <sheetName val="MASTER,_Assy_Month25"/>
      <sheetName val="Current_Status25"/>
      <sheetName val="LPP_SHEET25"/>
      <sheetName val="selling_prices25"/>
      <sheetName val="FUNCTION_CHART25"/>
      <sheetName val="Headlamp_Housing_Load25"/>
      <sheetName val="Headlamp_Lens_Load25"/>
      <sheetName val="Headlamp_Reflector_Load25"/>
      <sheetName val="K4見積_(訂正)_(2)25"/>
      <sheetName val="094W原紙_25"/>
      <sheetName val="Spec(1)_Thailand27"/>
      <sheetName val="Master_Parts_List27"/>
      <sheetName val="JT3_0견적-구127"/>
      <sheetName val="List_FunctionGroups27"/>
      <sheetName val="R_Prgr_Fin_Data27"/>
      <sheetName val="R_Ph__1_Entry27"/>
      <sheetName val="R_Prgr__Budg__Sum_27"/>
      <sheetName val="R_Prod__Cost_Sum_27"/>
      <sheetName val="R_Business_Plan_Form27"/>
      <sheetName val="R_P&amp;L27"/>
      <sheetName val="R_FJS_CAR27"/>
      <sheetName val="Lista_Congelada_05-0827"/>
      <sheetName val="VT_BN_Check_9_5_201227"/>
      <sheetName val="After_Sales_Supplier_#'s27"/>
      <sheetName val="MPL_技連27"/>
      <sheetName val="342E_BLOCK27"/>
      <sheetName val="MAKER2_(PRC)27"/>
      <sheetName val="contract_AGER27"/>
      <sheetName val="contract_APOR27"/>
      <sheetName val="market_AGER27"/>
      <sheetName val="market_APOR27"/>
      <sheetName val="General_information27"/>
      <sheetName val="TP_K9K-26027"/>
      <sheetName val="Pflege_Monate27"/>
      <sheetName val="_Cycle_Time_Tables27"/>
      <sheetName val="CSM_with_CKD27"/>
      <sheetName val="Europe_PU-124"/>
      <sheetName val="Part_Desriptions24"/>
      <sheetName val="PFM_Restricted_Standard_Parts24"/>
      <sheetName val="Tax_Rates24"/>
      <sheetName val="Read_me_first24"/>
      <sheetName val="Parts_Name_List_24"/>
      <sheetName val="ASSY_PART_BLOCK24"/>
      <sheetName val="K440_can_wake-up_logic24"/>
      <sheetName val="PAP_9Q_EU00_21030124"/>
      <sheetName val="Plant_Data24"/>
      <sheetName val="MASTER,_Assy_Month24"/>
      <sheetName val="Current_Status24"/>
      <sheetName val="LPP_SHEET24"/>
      <sheetName val="selling_prices24"/>
      <sheetName val="FUNCTION_CHART24"/>
      <sheetName val="Headlamp_Housing_Load24"/>
      <sheetName val="Headlamp_Lens_Load24"/>
      <sheetName val="Headlamp_Reflector_Load24"/>
      <sheetName val="K4見積_(訂正)_(2)24"/>
      <sheetName val="094W原紙_24"/>
      <sheetName val="Spec(1)_Thailand31"/>
      <sheetName val="Master_Parts_List31"/>
      <sheetName val="JT3_0견적-구131"/>
      <sheetName val="List_FunctionGroups31"/>
      <sheetName val="R_Prgr_Fin_Data31"/>
      <sheetName val="R_Ph__1_Entry31"/>
      <sheetName val="R_Prgr__Budg__Sum_31"/>
      <sheetName val="R_Prod__Cost_Sum_31"/>
      <sheetName val="R_Business_Plan_Form31"/>
      <sheetName val="R_P&amp;L31"/>
      <sheetName val="R_FJS_CAR31"/>
      <sheetName val="Lista_Congelada_05-0831"/>
      <sheetName val="VT_BN_Check_9_5_201231"/>
      <sheetName val="After_Sales_Supplier_#'s31"/>
      <sheetName val="MPL_技連31"/>
      <sheetName val="342E_BLOCK31"/>
      <sheetName val="MAKER2_(PRC)31"/>
      <sheetName val="contract_AGER31"/>
      <sheetName val="contract_APOR31"/>
      <sheetName val="market_AGER31"/>
      <sheetName val="market_APOR31"/>
      <sheetName val="General_information31"/>
      <sheetName val="TP_K9K-26031"/>
      <sheetName val="Pflege_Monate31"/>
      <sheetName val="_Cycle_Time_Tables31"/>
      <sheetName val="CSM_with_CKD31"/>
      <sheetName val="Europe_PU-128"/>
      <sheetName val="Part_Desriptions28"/>
      <sheetName val="PFM_Restricted_Standard_Parts28"/>
      <sheetName val="Tax_Rates28"/>
      <sheetName val="Read_me_first28"/>
      <sheetName val="Parts_Name_List_28"/>
      <sheetName val="ASSY_PART_BLOCK28"/>
      <sheetName val="K440_can_wake-up_logic28"/>
      <sheetName val="PAP_9Q_EU00_21030128"/>
      <sheetName val="Plant_Data28"/>
      <sheetName val="MASTER,_Assy_Month28"/>
      <sheetName val="Current_Status28"/>
      <sheetName val="LPP_SHEET28"/>
      <sheetName val="selling_prices28"/>
      <sheetName val="FUNCTION_CHART28"/>
      <sheetName val="Headlamp_Housing_Load28"/>
      <sheetName val="Headlamp_Lens_Load28"/>
      <sheetName val="Headlamp_Reflector_Load28"/>
      <sheetName val="K4見積_(訂正)_(2)28"/>
      <sheetName val="094W原紙_28"/>
      <sheetName val="Spec(1)_Thailand34"/>
      <sheetName val="Master_Parts_List34"/>
      <sheetName val="JT3_0견적-구134"/>
      <sheetName val="List_FunctionGroups34"/>
      <sheetName val="R_Prgr_Fin_Data34"/>
      <sheetName val="R_Ph__1_Entry34"/>
      <sheetName val="R_Prgr__Budg__Sum_34"/>
      <sheetName val="R_Prod__Cost_Sum_34"/>
      <sheetName val="R_Business_Plan_Form34"/>
      <sheetName val="R_P&amp;L34"/>
      <sheetName val="R_FJS_CAR34"/>
      <sheetName val="Lista_Congelada_05-0834"/>
      <sheetName val="VT_BN_Check_9_5_201234"/>
      <sheetName val="After_Sales_Supplier_#'s34"/>
      <sheetName val="MPL_技連34"/>
      <sheetName val="342E_BLOCK34"/>
      <sheetName val="MAKER2_(PRC)34"/>
      <sheetName val="contract_AGER34"/>
      <sheetName val="contract_APOR34"/>
      <sheetName val="market_AGER34"/>
      <sheetName val="market_APOR34"/>
      <sheetName val="General_information34"/>
      <sheetName val="TP_K9K-26034"/>
      <sheetName val="Pflege_Monate34"/>
      <sheetName val="_Cycle_Time_Tables34"/>
      <sheetName val="CSM_with_CKD34"/>
      <sheetName val="Europe_PU-131"/>
      <sheetName val="Part_Desriptions31"/>
      <sheetName val="PFM_Restricted_Standard_Parts31"/>
      <sheetName val="Tax_Rates31"/>
      <sheetName val="Read_me_first31"/>
      <sheetName val="Parts_Name_List_31"/>
      <sheetName val="ASSY_PART_BLOCK31"/>
      <sheetName val="K440_can_wake-up_logic31"/>
      <sheetName val="PAP_9Q_EU00_21030131"/>
      <sheetName val="Plant_Data31"/>
      <sheetName val="MASTER,_Assy_Month31"/>
      <sheetName val="Current_Status31"/>
      <sheetName val="LPP_SHEET31"/>
      <sheetName val="selling_prices31"/>
      <sheetName val="FUNCTION_CHART31"/>
      <sheetName val="Headlamp_Housing_Load31"/>
      <sheetName val="Headlamp_Lens_Load31"/>
      <sheetName val="Headlamp_Reflector_Load31"/>
      <sheetName val="K4見積_(訂正)_(2)31"/>
      <sheetName val="094W原紙_31"/>
      <sheetName val="Spec(1)_Thailand33"/>
      <sheetName val="Master_Parts_List33"/>
      <sheetName val="JT3_0견적-구133"/>
      <sheetName val="List_FunctionGroups33"/>
      <sheetName val="R_Prgr_Fin_Data33"/>
      <sheetName val="R_Ph__1_Entry33"/>
      <sheetName val="R_Prgr__Budg__Sum_33"/>
      <sheetName val="R_Prod__Cost_Sum_33"/>
      <sheetName val="R_Business_Plan_Form33"/>
      <sheetName val="R_P&amp;L33"/>
      <sheetName val="R_FJS_CAR33"/>
      <sheetName val="Lista_Congelada_05-0833"/>
      <sheetName val="VT_BN_Check_9_5_201233"/>
      <sheetName val="After_Sales_Supplier_#'s33"/>
      <sheetName val="MPL_技連33"/>
      <sheetName val="342E_BLOCK33"/>
      <sheetName val="MAKER2_(PRC)33"/>
      <sheetName val="contract_AGER33"/>
      <sheetName val="contract_APOR33"/>
      <sheetName val="market_AGER33"/>
      <sheetName val="market_APOR33"/>
      <sheetName val="General_information33"/>
      <sheetName val="TP_K9K-26033"/>
      <sheetName val="Pflege_Monate33"/>
      <sheetName val="_Cycle_Time_Tables33"/>
      <sheetName val="CSM_with_CKD33"/>
      <sheetName val="Europe_PU-130"/>
      <sheetName val="Part_Desriptions30"/>
      <sheetName val="PFM_Restricted_Standard_Parts30"/>
      <sheetName val="Tax_Rates30"/>
      <sheetName val="Read_me_first30"/>
      <sheetName val="Parts_Name_List_30"/>
      <sheetName val="ASSY_PART_BLOCK30"/>
      <sheetName val="K440_can_wake-up_logic30"/>
      <sheetName val="PAP_9Q_EU00_21030130"/>
      <sheetName val="Plant_Data30"/>
      <sheetName val="MASTER,_Assy_Month30"/>
      <sheetName val="Current_Status30"/>
      <sheetName val="LPP_SHEET30"/>
      <sheetName val="selling_prices30"/>
      <sheetName val="FUNCTION_CHART30"/>
      <sheetName val="Headlamp_Housing_Load30"/>
      <sheetName val="Headlamp_Lens_Load30"/>
      <sheetName val="Headlamp_Reflector_Load30"/>
      <sheetName val="K4見積_(訂正)_(2)30"/>
      <sheetName val="094W原紙_30"/>
      <sheetName val="Spec(1)_Thailand32"/>
      <sheetName val="Master_Parts_List32"/>
      <sheetName val="JT3_0견적-구132"/>
      <sheetName val="List_FunctionGroups32"/>
      <sheetName val="R_Prgr_Fin_Data32"/>
      <sheetName val="R_Ph__1_Entry32"/>
      <sheetName val="R_Prgr__Budg__Sum_32"/>
      <sheetName val="R_Prod__Cost_Sum_32"/>
      <sheetName val="R_Business_Plan_Form32"/>
      <sheetName val="R_P&amp;L32"/>
      <sheetName val="R_FJS_CAR32"/>
      <sheetName val="Lista_Congelada_05-0832"/>
      <sheetName val="VT_BN_Check_9_5_201232"/>
      <sheetName val="After_Sales_Supplier_#'s32"/>
      <sheetName val="MPL_技連32"/>
      <sheetName val="342E_BLOCK32"/>
      <sheetName val="MAKER2_(PRC)32"/>
      <sheetName val="contract_AGER32"/>
      <sheetName val="contract_APOR32"/>
      <sheetName val="market_AGER32"/>
      <sheetName val="market_APOR32"/>
      <sheetName val="General_information32"/>
      <sheetName val="TP_K9K-26032"/>
      <sheetName val="Pflege_Monate32"/>
      <sheetName val="_Cycle_Time_Tables32"/>
      <sheetName val="CSM_with_CKD32"/>
      <sheetName val="Europe_PU-129"/>
      <sheetName val="Part_Desriptions29"/>
      <sheetName val="PFM_Restricted_Standard_Parts29"/>
      <sheetName val="Tax_Rates29"/>
      <sheetName val="Read_me_first29"/>
      <sheetName val="Parts_Name_List_29"/>
      <sheetName val="ASSY_PART_BLOCK29"/>
      <sheetName val="K440_can_wake-up_logic29"/>
      <sheetName val="PAP_9Q_EU00_21030129"/>
      <sheetName val="Plant_Data29"/>
      <sheetName val="MASTER,_Assy_Month29"/>
      <sheetName val="Current_Status29"/>
      <sheetName val="LPP_SHEET29"/>
      <sheetName val="selling_prices29"/>
      <sheetName val="FUNCTION_CHART29"/>
      <sheetName val="Headlamp_Housing_Load29"/>
      <sheetName val="Headlamp_Lens_Load29"/>
      <sheetName val="Headlamp_Reflector_Load29"/>
      <sheetName val="K4見積_(訂正)_(2)29"/>
      <sheetName val="094W原紙_29"/>
      <sheetName val="Spec(1)_Thailand35"/>
      <sheetName val="Master_Parts_List35"/>
      <sheetName val="JT3_0견적-구135"/>
      <sheetName val="List_FunctionGroups35"/>
      <sheetName val="R_Prgr_Fin_Data35"/>
      <sheetName val="R_Ph__1_Entry35"/>
      <sheetName val="R_Prgr__Budg__Sum_35"/>
      <sheetName val="R_Prod__Cost_Sum_35"/>
      <sheetName val="R_Business_Plan_Form35"/>
      <sheetName val="R_P&amp;L35"/>
      <sheetName val="R_FJS_CAR35"/>
      <sheetName val="Lista_Congelada_05-0835"/>
      <sheetName val="VT_BN_Check_9_5_201235"/>
      <sheetName val="After_Sales_Supplier_#'s35"/>
      <sheetName val="MPL_技連35"/>
      <sheetName val="342E_BLOCK35"/>
      <sheetName val="MAKER2_(PRC)35"/>
      <sheetName val="contract_AGER35"/>
      <sheetName val="contract_APOR35"/>
      <sheetName val="market_AGER35"/>
      <sheetName val="market_APOR35"/>
      <sheetName val="General_information35"/>
      <sheetName val="TP_K9K-26035"/>
      <sheetName val="Pflege_Monate35"/>
      <sheetName val="_Cycle_Time_Tables35"/>
      <sheetName val="CSM_with_CKD35"/>
      <sheetName val="Europe_PU-132"/>
      <sheetName val="Part_Desriptions32"/>
      <sheetName val="PFM_Restricted_Standard_Parts32"/>
      <sheetName val="Tax_Rates32"/>
      <sheetName val="Read_me_first32"/>
      <sheetName val="Parts_Name_List_32"/>
      <sheetName val="ASSY_PART_BLOCK32"/>
      <sheetName val="K440_can_wake-up_logic32"/>
      <sheetName val="PAP_9Q_EU00_21030132"/>
      <sheetName val="Plant_Data32"/>
      <sheetName val="MASTER,_Assy_Month32"/>
      <sheetName val="Current_Status32"/>
      <sheetName val="LPP_SHEET32"/>
      <sheetName val="selling_prices32"/>
      <sheetName val="FUNCTION_CHART32"/>
      <sheetName val="Headlamp_Housing_Load32"/>
      <sheetName val="Headlamp_Lens_Load32"/>
      <sheetName val="Headlamp_Reflector_Load32"/>
      <sheetName val="K4見積_(訂正)_(2)32"/>
      <sheetName val="094W原紙_32"/>
      <sheetName val="Spec(1)_Thailand36"/>
      <sheetName val="Master_Parts_List36"/>
      <sheetName val="JT3_0견적-구136"/>
      <sheetName val="List_FunctionGroups36"/>
      <sheetName val="R_Prgr_Fin_Data36"/>
      <sheetName val="R_Ph__1_Entry36"/>
      <sheetName val="R_Prgr__Budg__Sum_36"/>
      <sheetName val="R_Prod__Cost_Sum_36"/>
      <sheetName val="R_Business_Plan_Form36"/>
      <sheetName val="R_P&amp;L36"/>
      <sheetName val="R_FJS_CAR36"/>
      <sheetName val="Lista_Congelada_05-0836"/>
      <sheetName val="VT_BN_Check_9_5_201236"/>
      <sheetName val="After_Sales_Supplier_#'s36"/>
      <sheetName val="MPL_技連36"/>
      <sheetName val="342E_BLOCK36"/>
      <sheetName val="MAKER2_(PRC)36"/>
      <sheetName val="contract_AGER36"/>
      <sheetName val="contract_APOR36"/>
      <sheetName val="market_AGER36"/>
      <sheetName val="market_APOR36"/>
      <sheetName val="General_information36"/>
      <sheetName val="TP_K9K-26036"/>
      <sheetName val="Pflege_Monate36"/>
      <sheetName val="_Cycle_Time_Tables36"/>
      <sheetName val="CSM_with_CKD36"/>
      <sheetName val="Europe_PU-133"/>
      <sheetName val="Part_Desriptions33"/>
      <sheetName val="PFM_Restricted_Standard_Parts33"/>
      <sheetName val="Tax_Rates33"/>
      <sheetName val="Read_me_first33"/>
      <sheetName val="Parts_Name_List_33"/>
      <sheetName val="ASSY_PART_BLOCK33"/>
      <sheetName val="K440_can_wake-up_logic33"/>
      <sheetName val="PAP_9Q_EU00_21030133"/>
      <sheetName val="Plant_Data33"/>
      <sheetName val="MASTER,_Assy_Month33"/>
      <sheetName val="Current_Status33"/>
      <sheetName val="LPP_SHEET33"/>
      <sheetName val="selling_prices33"/>
      <sheetName val="FUNCTION_CHART33"/>
      <sheetName val="Headlamp_Housing_Load33"/>
      <sheetName val="Headlamp_Lens_Load33"/>
      <sheetName val="Headlamp_Reflector_Load33"/>
      <sheetName val="K4見積_(訂正)_(2)33"/>
      <sheetName val="094W原紙_33"/>
      <sheetName val="Spec(1)_Thailand37"/>
      <sheetName val="Master_Parts_List37"/>
      <sheetName val="JT3_0견적-구137"/>
      <sheetName val="List_FunctionGroups37"/>
      <sheetName val="R_Prgr_Fin_Data37"/>
      <sheetName val="R_Ph__1_Entry37"/>
      <sheetName val="R_Prgr__Budg__Sum_37"/>
      <sheetName val="R_Prod__Cost_Sum_37"/>
      <sheetName val="R_Business_Plan_Form37"/>
      <sheetName val="R_P&amp;L37"/>
      <sheetName val="R_FJS_CAR37"/>
      <sheetName val="Lista_Congelada_05-0837"/>
      <sheetName val="VT_BN_Check_9_5_201237"/>
      <sheetName val="After_Sales_Supplier_#'s37"/>
      <sheetName val="MPL_技連37"/>
      <sheetName val="342E_BLOCK37"/>
      <sheetName val="MAKER2_(PRC)37"/>
      <sheetName val="contract_AGER37"/>
      <sheetName val="contract_APOR37"/>
      <sheetName val="market_AGER37"/>
      <sheetName val="market_APOR37"/>
      <sheetName val="General_information37"/>
      <sheetName val="TP_K9K-26037"/>
      <sheetName val="Pflege_Monate37"/>
      <sheetName val="_Cycle_Time_Tables37"/>
      <sheetName val="CSM_with_CKD37"/>
      <sheetName val="Europe_PU-134"/>
      <sheetName val="Part_Desriptions34"/>
      <sheetName val="PFM_Restricted_Standard_Parts34"/>
      <sheetName val="Tax_Rates34"/>
      <sheetName val="Read_me_first34"/>
      <sheetName val="Parts_Name_List_34"/>
      <sheetName val="ASSY_PART_BLOCK34"/>
      <sheetName val="K440_can_wake-up_logic34"/>
      <sheetName val="PAP_9Q_EU00_21030134"/>
      <sheetName val="Plant_Data34"/>
      <sheetName val="MASTER,_Assy_Month34"/>
      <sheetName val="Current_Status34"/>
      <sheetName val="LPP_SHEET34"/>
      <sheetName val="selling_prices34"/>
      <sheetName val="FUNCTION_CHART34"/>
      <sheetName val="Headlamp_Housing_Load34"/>
      <sheetName val="Headlamp_Lens_Load34"/>
      <sheetName val="Headlamp_Reflector_Load34"/>
      <sheetName val="K4見積_(訂正)_(2)34"/>
      <sheetName val="094W原紙_34"/>
      <sheetName val="Spec(1)_Thailand38"/>
      <sheetName val="Master_Parts_List38"/>
      <sheetName val="JT3_0견적-구138"/>
      <sheetName val="List_FunctionGroups38"/>
      <sheetName val="R_Prgr_Fin_Data38"/>
      <sheetName val="R_Ph__1_Entry38"/>
      <sheetName val="R_Prgr__Budg__Sum_38"/>
      <sheetName val="R_Prod__Cost_Sum_38"/>
      <sheetName val="R_Business_Plan_Form38"/>
      <sheetName val="R_P&amp;L38"/>
      <sheetName val="R_FJS_CAR38"/>
      <sheetName val="Lista_Congelada_05-0838"/>
      <sheetName val="VT_BN_Check_9_5_201238"/>
      <sheetName val="After_Sales_Supplier_#'s38"/>
      <sheetName val="MPL_技連38"/>
      <sheetName val="342E_BLOCK38"/>
      <sheetName val="MAKER2_(PRC)38"/>
      <sheetName val="contract_AGER38"/>
      <sheetName val="contract_APOR38"/>
      <sheetName val="market_AGER38"/>
      <sheetName val="market_APOR38"/>
      <sheetName val="General_information38"/>
      <sheetName val="TP_K9K-26038"/>
      <sheetName val="Pflege_Monate38"/>
      <sheetName val="_Cycle_Time_Tables38"/>
      <sheetName val="CSM_with_CKD38"/>
      <sheetName val="Europe_PU-135"/>
      <sheetName val="Part_Desriptions35"/>
      <sheetName val="PFM_Restricted_Standard_Parts35"/>
      <sheetName val="Tax_Rates35"/>
      <sheetName val="Read_me_first35"/>
      <sheetName val="Parts_Name_List_35"/>
      <sheetName val="ASSY_PART_BLOCK35"/>
      <sheetName val="K440_can_wake-up_logic35"/>
      <sheetName val="PAP_9Q_EU00_21030135"/>
      <sheetName val="Plant_Data35"/>
      <sheetName val="MASTER,_Assy_Month35"/>
      <sheetName val="Current_Status35"/>
      <sheetName val="LPP_SHEET35"/>
      <sheetName val="selling_prices35"/>
      <sheetName val="FUNCTION_CHART35"/>
      <sheetName val="Headlamp_Housing_Load35"/>
      <sheetName val="Headlamp_Lens_Load35"/>
      <sheetName val="Headlamp_Reflector_Load35"/>
      <sheetName val="K4見積_(訂正)_(2)35"/>
      <sheetName val="094W原紙_35"/>
      <sheetName val="Spec(1)_Thailand39"/>
      <sheetName val="Master_Parts_List39"/>
      <sheetName val="JT3_0견적-구139"/>
      <sheetName val="List_FunctionGroups39"/>
      <sheetName val="R_Prgr_Fin_Data39"/>
      <sheetName val="R_Ph__1_Entry39"/>
      <sheetName val="R_Prgr__Budg__Sum_39"/>
      <sheetName val="R_Prod__Cost_Sum_39"/>
      <sheetName val="R_Business_Plan_Form39"/>
      <sheetName val="R_P&amp;L39"/>
      <sheetName val="R_FJS_CAR39"/>
      <sheetName val="Lista_Congelada_05-0839"/>
      <sheetName val="VT_BN_Check_9_5_201239"/>
      <sheetName val="After_Sales_Supplier_#'s39"/>
      <sheetName val="MPL_技連39"/>
      <sheetName val="342E_BLOCK39"/>
      <sheetName val="MAKER2_(PRC)39"/>
      <sheetName val="contract_AGER39"/>
      <sheetName val="contract_APOR39"/>
      <sheetName val="market_AGER39"/>
      <sheetName val="market_APOR39"/>
      <sheetName val="General_information39"/>
      <sheetName val="TP_K9K-26039"/>
      <sheetName val="Pflege_Monate39"/>
      <sheetName val="_Cycle_Time_Tables39"/>
      <sheetName val="CSM_with_CKD39"/>
      <sheetName val="Europe_PU-136"/>
      <sheetName val="Part_Desriptions36"/>
      <sheetName val="PFM_Restricted_Standard_Parts36"/>
      <sheetName val="Tax_Rates36"/>
      <sheetName val="Read_me_first36"/>
      <sheetName val="Parts_Name_List_36"/>
      <sheetName val="ASSY_PART_BLOCK36"/>
      <sheetName val="K440_can_wake-up_logic36"/>
      <sheetName val="PAP_9Q_EU00_21030136"/>
      <sheetName val="Plant_Data36"/>
      <sheetName val="MASTER,_Assy_Month36"/>
      <sheetName val="Current_Status36"/>
      <sheetName val="LPP_SHEET36"/>
      <sheetName val="selling_prices36"/>
      <sheetName val="FUNCTION_CHART36"/>
      <sheetName val="Headlamp_Housing_Load36"/>
      <sheetName val="Headlamp_Lens_Load36"/>
      <sheetName val="Headlamp_Reflector_Load36"/>
      <sheetName val="K4見積_(訂正)_(2)36"/>
      <sheetName val="094W原紙_36"/>
      <sheetName val="Spec(1)_Thailand40"/>
      <sheetName val="Master_Parts_List40"/>
      <sheetName val="JT3_0견적-구140"/>
      <sheetName val="List_FunctionGroups40"/>
      <sheetName val="R_Prgr_Fin_Data40"/>
      <sheetName val="R_Ph__1_Entry40"/>
      <sheetName val="R_Prgr__Budg__Sum_40"/>
      <sheetName val="R_Prod__Cost_Sum_40"/>
      <sheetName val="R_Business_Plan_Form40"/>
      <sheetName val="R_P&amp;L40"/>
      <sheetName val="R_FJS_CAR40"/>
      <sheetName val="Lista_Congelada_05-0840"/>
      <sheetName val="VT_BN_Check_9_5_201240"/>
      <sheetName val="After_Sales_Supplier_#'s40"/>
      <sheetName val="MPL_技連40"/>
      <sheetName val="342E_BLOCK40"/>
      <sheetName val="MAKER2_(PRC)40"/>
      <sheetName val="contract_AGER40"/>
      <sheetName val="contract_APOR40"/>
      <sheetName val="market_AGER40"/>
      <sheetName val="market_APOR40"/>
      <sheetName val="General_information40"/>
      <sheetName val="TP_K9K-26040"/>
      <sheetName val="Pflege_Monate40"/>
      <sheetName val="_Cycle_Time_Tables40"/>
      <sheetName val="CSM_with_CKD40"/>
      <sheetName val="Europe_PU-137"/>
      <sheetName val="Part_Desriptions37"/>
      <sheetName val="PFM_Restricted_Standard_Parts37"/>
      <sheetName val="Tax_Rates37"/>
      <sheetName val="Read_me_first37"/>
      <sheetName val="Parts_Name_List_37"/>
      <sheetName val="ASSY_PART_BLOCK37"/>
      <sheetName val="K440_can_wake-up_logic37"/>
      <sheetName val="PAP_9Q_EU00_21030137"/>
      <sheetName val="Plant_Data37"/>
      <sheetName val="MASTER,_Assy_Month37"/>
      <sheetName val="Current_Status37"/>
      <sheetName val="LPP_SHEET37"/>
      <sheetName val="selling_prices37"/>
      <sheetName val="FUNCTION_CHART37"/>
      <sheetName val="Headlamp_Housing_Load37"/>
      <sheetName val="Headlamp_Lens_Load37"/>
      <sheetName val="Headlamp_Reflector_Load37"/>
      <sheetName val="K4見積_(訂正)_(2)37"/>
      <sheetName val="094W原紙_37"/>
      <sheetName val="Spec(1)_Thailand41"/>
      <sheetName val="Master_Parts_List41"/>
      <sheetName val="JT3_0견적-구141"/>
      <sheetName val="List_FunctionGroups41"/>
      <sheetName val="R_Prgr_Fin_Data41"/>
      <sheetName val="R_Ph__1_Entry41"/>
      <sheetName val="R_Prgr__Budg__Sum_41"/>
      <sheetName val="R_Prod__Cost_Sum_41"/>
      <sheetName val="R_Business_Plan_Form41"/>
      <sheetName val="R_P&amp;L41"/>
      <sheetName val="R_FJS_CAR41"/>
      <sheetName val="Lista_Congelada_05-0841"/>
      <sheetName val="VT_BN_Check_9_5_201241"/>
      <sheetName val="After_Sales_Supplier_#'s41"/>
      <sheetName val="MPL_技連41"/>
      <sheetName val="342E_BLOCK41"/>
      <sheetName val="MAKER2_(PRC)41"/>
      <sheetName val="contract_AGER41"/>
      <sheetName val="contract_APOR41"/>
      <sheetName val="market_AGER41"/>
      <sheetName val="market_APOR41"/>
      <sheetName val="General_information41"/>
      <sheetName val="TP_K9K-26041"/>
      <sheetName val="Pflege_Monate41"/>
      <sheetName val="_Cycle_Time_Tables41"/>
      <sheetName val="CSM_with_CKD41"/>
      <sheetName val="Europe_PU-138"/>
      <sheetName val="Part_Desriptions38"/>
      <sheetName val="PFM_Restricted_Standard_Parts38"/>
      <sheetName val="Tax_Rates38"/>
      <sheetName val="Read_me_first38"/>
      <sheetName val="Parts_Name_List_38"/>
      <sheetName val="ASSY_PART_BLOCK38"/>
      <sheetName val="K440_can_wake-up_logic38"/>
      <sheetName val="PAP_9Q_EU00_21030138"/>
      <sheetName val="Plant_Data38"/>
      <sheetName val="MASTER,_Assy_Month38"/>
      <sheetName val="Current_Status38"/>
      <sheetName val="LPP_SHEET38"/>
      <sheetName val="selling_prices38"/>
      <sheetName val="FUNCTION_CHART38"/>
      <sheetName val="Headlamp_Housing_Load38"/>
      <sheetName val="Headlamp_Lens_Load38"/>
      <sheetName val="Headlamp_Reflector_Load38"/>
      <sheetName val="K4見積_(訂正)_(2)38"/>
      <sheetName val="094W原紙_38"/>
      <sheetName val="Spec(1)_Thailand42"/>
      <sheetName val="Master_Parts_List42"/>
      <sheetName val="JT3_0견적-구142"/>
      <sheetName val="List_FunctionGroups42"/>
      <sheetName val="R_Prgr_Fin_Data42"/>
      <sheetName val="R_Ph__1_Entry42"/>
      <sheetName val="R_Prgr__Budg__Sum_42"/>
      <sheetName val="R_Prod__Cost_Sum_42"/>
      <sheetName val="R_Business_Plan_Form42"/>
      <sheetName val="R_P&amp;L42"/>
      <sheetName val="R_FJS_CAR42"/>
      <sheetName val="Lista_Congelada_05-0842"/>
      <sheetName val="VT_BN_Check_9_5_201242"/>
      <sheetName val="After_Sales_Supplier_#'s42"/>
      <sheetName val="MPL_技連42"/>
      <sheetName val="342E_BLOCK42"/>
      <sheetName val="MAKER2_(PRC)42"/>
      <sheetName val="contract_AGER42"/>
      <sheetName val="contract_APOR42"/>
      <sheetName val="market_AGER42"/>
      <sheetName val="market_APOR42"/>
      <sheetName val="General_information42"/>
      <sheetName val="TP_K9K-26042"/>
      <sheetName val="Pflege_Monate42"/>
      <sheetName val="_Cycle_Time_Tables42"/>
      <sheetName val="CSM_with_CKD42"/>
      <sheetName val="Europe_PU-139"/>
      <sheetName val="Part_Desriptions39"/>
      <sheetName val="PFM_Restricted_Standard_Parts39"/>
      <sheetName val="Tax_Rates39"/>
      <sheetName val="Read_me_first39"/>
      <sheetName val="Parts_Name_List_39"/>
      <sheetName val="ASSY_PART_BLOCK39"/>
      <sheetName val="K440_can_wake-up_logic39"/>
      <sheetName val="PAP_9Q_EU00_21030139"/>
      <sheetName val="Plant_Data39"/>
      <sheetName val="MASTER,_Assy_Month39"/>
      <sheetName val="Current_Status39"/>
      <sheetName val="LPP_SHEET39"/>
      <sheetName val="selling_prices39"/>
      <sheetName val="FUNCTION_CHART39"/>
      <sheetName val="Headlamp_Housing_Load39"/>
      <sheetName val="Headlamp_Lens_Load39"/>
      <sheetName val="Headlamp_Reflector_Load39"/>
      <sheetName val="K4見積_(訂正)_(2)39"/>
      <sheetName val="094W原紙_39"/>
      <sheetName val="06年度計画"/>
      <sheetName val="ITEM  STUDY (2)"/>
      <sheetName val="Leasing Calculator"/>
      <sheetName val="REQVEHPILOT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日本語(品質)"/>
      <sheetName val="X03HPW"/>
      <sheetName val="【LLC】銀ペースト少量対策_081017 "/>
      <sheetName val="SC4"/>
    </sheetNames>
    <sheetDataSet>
      <sheetData sheetId="0">
        <row r="1">
          <cell r="A1" t="str">
            <v>1.1 QRQC at the line level</v>
          </cell>
        </row>
        <row r="2">
          <cell r="A2" t="str">
            <v>1.2 QRQC at the APU level</v>
          </cell>
        </row>
        <row r="3">
          <cell r="A3" t="str">
            <v>1.3 QRQC at the plant level</v>
          </cell>
        </row>
        <row r="4">
          <cell r="A4" t="str">
            <v>1.4 QRQC at Suppliers</v>
          </cell>
        </row>
        <row r="5">
          <cell r="A5" t="str">
            <v>1.5 QRQC Logistics</v>
          </cell>
        </row>
        <row r="6">
          <cell r="A6" t="str">
            <v>1.6 QRQC Projects</v>
          </cell>
        </row>
        <row r="7">
          <cell r="A7" t="str">
            <v>1.7 Internal quality audits</v>
          </cell>
        </row>
        <row r="8">
          <cell r="A8" t="str">
            <v>2.1 Basic attitude</v>
          </cell>
        </row>
        <row r="9">
          <cell r="A9" t="str">
            <v>3.1 Equipment preventive maintenance properly administred.</v>
          </cell>
        </row>
        <row r="10">
          <cell r="A10" t="str">
            <v>4.1 Certified operators</v>
          </cell>
        </row>
        <row r="11">
          <cell r="A11" t="str">
            <v>4.2 Trained project team members</v>
          </cell>
        </row>
        <row r="12">
          <cell r="A12" t="str">
            <v>5.1 Identified product</v>
          </cell>
        </row>
        <row r="13">
          <cell r="A13" t="str">
            <v>5.2 Traceability</v>
          </cell>
        </row>
        <row r="14">
          <cell r="A14" t="str">
            <v>5.3 Customer product interfaces and subjective items</v>
          </cell>
        </row>
        <row r="15">
          <cell r="A15" t="str">
            <v>5.4 Statistical process control</v>
          </cell>
        </row>
        <row r="16">
          <cell r="A16" t="str">
            <v>5.5 Logistic process</v>
          </cell>
        </row>
        <row r="17">
          <cell r="A17" t="str">
            <v>5.6 Zero rework</v>
          </cell>
        </row>
        <row r="18">
          <cell r="A18" t="str">
            <v>6.1 PQA</v>
          </cell>
        </row>
        <row r="19">
          <cell r="A19" t="str">
            <v>7.1 PQA+Poka yoke</v>
          </cell>
        </row>
        <row r="20">
          <cell r="A20" t="str">
            <v>7.2 Benefit of experience</v>
          </cell>
        </row>
        <row r="21">
          <cell r="A21" t="str">
            <v>7.3 Projects - Change Management for Product/Process in full Production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RE総会（第３回）実施計画"/>
      <sheetName val="List_data"/>
      <sheetName val="Feuil1"/>
      <sheetName val="QRE総会第3回の進め方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ミュニケーション一覧"/>
      <sheetName val="編集"/>
      <sheetName val="画像編集"/>
      <sheetName val="Follow-up Sheet"/>
      <sheetName val="menu_leaf_componentcode"/>
      <sheetName val="menu_leaf_evaluation"/>
      <sheetName val="コミュニケーション登録-backup"/>
      <sheetName val="itemslist"/>
      <sheetName val="File_Check"/>
      <sheetName val="File_Check-test"/>
      <sheetName val="List_data"/>
      <sheetName val="cellname"/>
      <sheetName val="cellname_backup"/>
      <sheetName val="外注納不"/>
      <sheetName val="不良ﾃﾞｰﾀ資料"/>
      <sheetName val="品質状況(原紙)"/>
      <sheetName val="Feuil1"/>
      <sheetName val="Ref"/>
      <sheetName val="Part List"/>
      <sheetName val="TMMK Vehicle Data"/>
      <sheetName val="TMMC Vehicle Data"/>
      <sheetName val="Comparison data"/>
      <sheetName val="期首HL"/>
      <sheetName val="期首SL2"/>
      <sheetName val="MIK_Name"/>
      <sheetName val="MOTO"/>
      <sheetName val="Data"/>
      <sheetName val="KANBAN"/>
      <sheetName val="ﾍﾞﾀﾘｽﾄ"/>
      <sheetName val="#REF!"/>
      <sheetName val="ｺﾝY条件BD"/>
      <sheetName val="script fg baru"/>
      <sheetName val="リスト"/>
      <sheetName val="Purchase Order"/>
      <sheetName val="Sheet1 (3)"/>
      <sheetName val="カバ-"/>
      <sheetName val="FLORIDA"/>
      <sheetName val="コミュニケーション一覧3"/>
      <sheetName val="TRT"/>
      <sheetName val="Price range IT"/>
      <sheetName val="Invoice"/>
      <sheetName val="99年度原単位"/>
      <sheetName val="Follow-up_Sheet"/>
      <sheetName val="Follow-up_Sheet1"/>
      <sheetName val="TMMK_Vehicle_Data"/>
      <sheetName val="TMMC_Vehicle_Data"/>
      <sheetName val="Comparison_data"/>
      <sheetName val="plastic"/>
      <sheetName val="Follow-up_Sheet2"/>
      <sheetName val="TMMK_Vehicle_Data1"/>
      <sheetName val="TMMC_Vehicle_Data1"/>
      <sheetName val="Comparison_data1"/>
      <sheetName val="Follow-up_Sheet3"/>
      <sheetName val="TMMK_Vehicle_Data2"/>
      <sheetName val="TMMC_Vehicle_Data2"/>
      <sheetName val="Comparison_data2"/>
      <sheetName val="Follow-up_Sheet5"/>
      <sheetName val="TMMK_Vehicle_Data4"/>
      <sheetName val="TMMC_Vehicle_Data4"/>
      <sheetName val="Comparison_data4"/>
      <sheetName val="Follow-up_Sheet4"/>
      <sheetName val="TMMK_Vehicle_Data3"/>
      <sheetName val="TMMC_Vehicle_Data3"/>
      <sheetName val="Comparison_data3"/>
      <sheetName val="parameter"/>
      <sheetName val="Follow-up_Sheet6"/>
      <sheetName val="TMMK_Vehicle_Data5"/>
      <sheetName val="TMMC_Vehicle_Data5"/>
      <sheetName val="Comparison_data5"/>
      <sheetName val="Follow-up_Sheet7"/>
      <sheetName val="TMMK_Vehicle_Data6"/>
      <sheetName val="TMMC_Vehicle_Data6"/>
      <sheetName val="Comparison_data6"/>
      <sheetName val="Follow-up_Sheet8"/>
      <sheetName val="TMMK_Vehicle_Data7"/>
      <sheetName val="TMMC_Vehicle_Data7"/>
      <sheetName val="Comparison_data7"/>
      <sheetName val="Follow-up_Sheet9"/>
      <sheetName val="TMMK_Vehicle_Data8"/>
      <sheetName val="TMMC_Vehicle_Data8"/>
      <sheetName val="Comparison_data8"/>
      <sheetName val="Follow-up_Sheet10"/>
      <sheetName val="TMMK_Vehicle_Data9"/>
      <sheetName val="TMMC_Vehicle_Data9"/>
      <sheetName val="Comparison_data9"/>
      <sheetName val="Follow-up_Sheet11"/>
      <sheetName val="TMMK_Vehicle_Data10"/>
      <sheetName val="TMMC_Vehicle_Data10"/>
      <sheetName val="Comparison_data10"/>
      <sheetName val="Follow-up_Sheet12"/>
      <sheetName val="TMMK_Vehicle_Data11"/>
      <sheetName val="TMMC_Vehicle_Data11"/>
      <sheetName val="Comparison_data11"/>
      <sheetName val="eng油洩れ"/>
      <sheetName val="MPL 技連"/>
      <sheetName val="342E BLOCK"/>
      <sheetName val="納入総括"/>
      <sheetName val="説明"/>
      <sheetName val="事務所引越見積書"/>
      <sheetName val="BasicInfo"/>
      <sheetName val="組立140西村さんから"/>
      <sheetName val="組立"/>
      <sheetName val="Japan"/>
      <sheetName val="LINE（月量）"/>
      <sheetName val="094W原紙 "/>
      <sheetName val="月度生産"/>
      <sheetName val="原単位表"/>
      <sheetName val="Avensis+d seg  in &amp; out of UK+F"/>
      <sheetName val="N(02a)"/>
      <sheetName val="DAIWA"/>
      <sheetName val="DATA VALIDASI"/>
      <sheetName val="Master 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A</v>
          </cell>
          <cell r="C2" t="str">
            <v>A</v>
          </cell>
          <cell r="E2" t="str">
            <v>RHD</v>
          </cell>
          <cell r="G2" t="str">
            <v>A</v>
          </cell>
          <cell r="I2" t="str">
            <v>A</v>
          </cell>
          <cell r="K2" t="str">
            <v>7</v>
          </cell>
          <cell r="M2" t="str">
            <v>1</v>
          </cell>
          <cell r="O2" t="str">
            <v>1</v>
          </cell>
          <cell r="Q2" t="str">
            <v>KK</v>
          </cell>
          <cell r="S2" t="str">
            <v>A1</v>
          </cell>
          <cell r="U2">
            <v>7</v>
          </cell>
          <cell r="W2" t="str">
            <v>1</v>
          </cell>
        </row>
        <row r="3">
          <cell r="A3" t="str">
            <v>R</v>
          </cell>
          <cell r="C3" t="str">
            <v>B</v>
          </cell>
          <cell r="E3" t="str">
            <v>LHD</v>
          </cell>
          <cell r="G3" t="str">
            <v>B</v>
          </cell>
          <cell r="I3" t="str">
            <v>B</v>
          </cell>
          <cell r="K3" t="str">
            <v>1</v>
          </cell>
          <cell r="M3" t="str">
            <v>2</v>
          </cell>
          <cell r="O3" t="str">
            <v>2</v>
          </cell>
          <cell r="Q3" t="str">
            <v>GZ</v>
          </cell>
          <cell r="S3" t="str">
            <v>A2</v>
          </cell>
          <cell r="U3">
            <v>1</v>
          </cell>
          <cell r="W3" t="str">
            <v>2</v>
          </cell>
        </row>
        <row r="4">
          <cell r="A4" t="str">
            <v>W</v>
          </cell>
          <cell r="C4" t="str">
            <v>C</v>
          </cell>
          <cell r="G4" t="str">
            <v>C</v>
          </cell>
          <cell r="I4" t="str">
            <v>C</v>
          </cell>
          <cell r="K4" t="str">
            <v>2</v>
          </cell>
          <cell r="M4" t="str">
            <v>3</v>
          </cell>
          <cell r="O4" t="str">
            <v>3</v>
          </cell>
          <cell r="Q4" t="str">
            <v>SU</v>
          </cell>
          <cell r="S4" t="str">
            <v>A3</v>
          </cell>
          <cell r="U4">
            <v>2</v>
          </cell>
          <cell r="W4" t="str">
            <v>3</v>
          </cell>
        </row>
        <row r="5">
          <cell r="A5" t="str">
            <v>PP</v>
          </cell>
          <cell r="C5" t="str">
            <v>D</v>
          </cell>
          <cell r="G5" t="str">
            <v>D</v>
          </cell>
          <cell r="I5" t="str">
            <v>D</v>
          </cell>
          <cell r="K5" t="str">
            <v>3</v>
          </cell>
          <cell r="M5" t="str">
            <v>4</v>
          </cell>
          <cell r="O5" t="str">
            <v>4</v>
          </cell>
          <cell r="Q5" t="str">
            <v>HK</v>
          </cell>
          <cell r="S5" t="str">
            <v>A4</v>
          </cell>
          <cell r="U5">
            <v>3</v>
          </cell>
        </row>
        <row r="6">
          <cell r="A6" t="str">
            <v>T</v>
          </cell>
          <cell r="C6" t="str">
            <v>E</v>
          </cell>
          <cell r="I6" t="str">
            <v>E</v>
          </cell>
          <cell r="K6" t="str">
            <v>4</v>
          </cell>
          <cell r="O6" t="str">
            <v>5</v>
          </cell>
          <cell r="Q6" t="str">
            <v>KG</v>
          </cell>
          <cell r="S6" t="str">
            <v>B1</v>
          </cell>
          <cell r="U6">
            <v>4</v>
          </cell>
        </row>
        <row r="7">
          <cell r="A7" t="str">
            <v>PQ</v>
          </cell>
          <cell r="I7" t="str">
            <v>F</v>
          </cell>
          <cell r="K7" t="str">
            <v>5</v>
          </cell>
          <cell r="Q7" t="str">
            <v>1A</v>
          </cell>
          <cell r="S7" t="str">
            <v>B2</v>
          </cell>
          <cell r="U7">
            <v>5</v>
          </cell>
        </row>
        <row r="8">
          <cell r="A8" t="str">
            <v>D</v>
          </cell>
          <cell r="K8" t="str">
            <v>6</v>
          </cell>
          <cell r="Q8" t="str">
            <v>2A</v>
          </cell>
          <cell r="S8" t="str">
            <v>C1</v>
          </cell>
          <cell r="U8">
            <v>6</v>
          </cell>
        </row>
        <row r="9">
          <cell r="A9" t="str">
            <v>E</v>
          </cell>
          <cell r="Q9" t="str">
            <v>LO</v>
          </cell>
          <cell r="S9" t="str">
            <v>C2</v>
          </cell>
        </row>
        <row r="10">
          <cell r="A10" t="str">
            <v>U</v>
          </cell>
          <cell r="Q10" t="str">
            <v>NO</v>
          </cell>
          <cell r="S10" t="str">
            <v>C3</v>
          </cell>
        </row>
        <row r="11">
          <cell r="S11" t="str">
            <v>C0</v>
          </cell>
        </row>
        <row r="12">
          <cell r="S12" t="str">
            <v>D0</v>
          </cell>
        </row>
        <row r="13">
          <cell r="S13" t="str">
            <v>K0</v>
          </cell>
        </row>
        <row r="14">
          <cell r="S14" t="str">
            <v>S0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pe PU-1"/>
      <sheetName val="Europe PU_1"/>
      <sheetName val="square1"/>
      <sheetName val="List_data"/>
      <sheetName val="①評価項目_メーカー"/>
      <sheetName val="MPL 技連"/>
      <sheetName val="342E BLOCK"/>
      <sheetName val="MOTO"/>
      <sheetName val="事務所引越見積書"/>
      <sheetName val="Spec(1) Euro"/>
      <sheetName val="Vol &amp; Assumpt"/>
      <sheetName val="ﾌｫｰﾏｯﾄ"/>
      <sheetName val="MRSTE"/>
      <sheetName val="Titel"/>
      <sheetName val="1月計画"/>
      <sheetName val="2月計画"/>
      <sheetName val="P207 FR"/>
      <sheetName val="Selection"/>
      <sheetName val="T30ﾗｼﾞｸﾞﾘ"/>
      <sheetName val="精度一覧（管理誤差値）"/>
      <sheetName val="Master Parts List"/>
      <sheetName val="?評?項目_????"/>
      <sheetName val="_評_項目_____"/>
      <sheetName val="納入総括"/>
      <sheetName val="S4500, CKDs"/>
      <sheetName val="T300"/>
      <sheetName val="Systm NCR"/>
      <sheetName val="#REF!"/>
      <sheetName val="集計ﾘｽﾄ"/>
      <sheetName val="演算表"/>
      <sheetName val="調節光機能"/>
      <sheetName val="帰零処理詳細2"/>
      <sheetName val="総合B"/>
      <sheetName val="DIEZEL動弁相場"/>
      <sheetName val="Data"/>
      <sheetName val="Preise Juli"/>
      <sheetName val="After Sales Supplier #'s"/>
      <sheetName val="ｉ１１９"/>
      <sheetName val="段ﾎﾞｰﾙ箱図番･荷姿ｺｰﾄﾞ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1-SUMMARY"/>
      <sheetName val="2-MATERIALS"/>
      <sheetName val="기안"/>
      <sheetName val="FR管理工程図"/>
      <sheetName val="PREÇOS PEÇAS"/>
      <sheetName val="ETRS"/>
      <sheetName val="X11EglobalV5"/>
      <sheetName val="Hyp"/>
      <sheetName val="Env"/>
      <sheetName val="Grid Charts"/>
      <sheetName val="Sheet7"/>
      <sheetName val="DIST"/>
      <sheetName val="342A Block"/>
      <sheetName val="HYO"/>
      <sheetName val="噛み合い最小Vir"/>
      <sheetName val="DATA_DELIVERY"/>
      <sheetName val="DATA_HEAD"/>
      <sheetName val="MASTER"/>
      <sheetName val="Datebase"/>
      <sheetName val="Exceptions"/>
      <sheetName val="Input"/>
      <sheetName val="MM利益・原価企画方針書ｶｸ１"/>
      <sheetName val="国产工装"/>
      <sheetName val="CycleTime"/>
      <sheetName val="Hosur"/>
      <sheetName val="OH"/>
      <sheetName val="FM"/>
      <sheetName val="CK50 仮Vc設定用"/>
      <sheetName val="部品別・部位別Vc (2)"/>
      <sheetName val="CK50 仮Vc設定用  (2)"/>
      <sheetName val="selling prices"/>
      <sheetName val="噴射系"/>
      <sheetName val="FY03"/>
      <sheetName val="PROFILE"/>
      <sheetName val="条件表"/>
      <sheetName val="Absorption Coefficient (2)"/>
      <sheetName val="IP標時xls"/>
      <sheetName val="244豪州一般ZD301生試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销售收入A4"/>
      <sheetName val="仕入先ｺｰﾄﾞ"/>
      <sheetName val="Instruction Manual"/>
      <sheetName val="VQS⑦-⑭"/>
      <sheetName val="VQS⑮"/>
      <sheetName val="型上げ"/>
      <sheetName val="SD"/>
      <sheetName val="#REF"/>
      <sheetName val="６２３Ｔ"/>
      <sheetName val="F4301"/>
      <sheetName val="資料_700部品点数設定"/>
      <sheetName val="Ref"/>
      <sheetName val="Production Database 399"/>
      <sheetName val="B-Car Rates"/>
      <sheetName val="2-row_Opt_table"/>
      <sheetName val="MAIN"/>
      <sheetName val="ENG"/>
      <sheetName val="CONT"/>
      <sheetName val="Europe_PU-12"/>
      <sheetName val="Europe_PU_12"/>
      <sheetName val="MPL_技連2"/>
      <sheetName val="342E_BLOCK2"/>
      <sheetName val="Spec(1)_Euro2"/>
      <sheetName val="Vol_&amp;_Assumpt2"/>
      <sheetName val="Europe_PU-1"/>
      <sheetName val="Europe_PU_1"/>
      <sheetName val="MPL_技連"/>
      <sheetName val="342E_BLOCK"/>
      <sheetName val="Spec(1)_Euro"/>
      <sheetName val="Vol_&amp;_Assumpt"/>
      <sheetName val="Europe_PU-11"/>
      <sheetName val="Europe_PU_11"/>
      <sheetName val="MPL_技連1"/>
      <sheetName val="342E_BLOCK1"/>
      <sheetName val="Spec(1)_Euro1"/>
      <sheetName val="Vol_&amp;_Assumpt1"/>
      <sheetName val="Europe_PU-17"/>
      <sheetName val="Europe_PU_17"/>
      <sheetName val="MPL_技連7"/>
      <sheetName val="342E_BLOCK7"/>
      <sheetName val="Spec(1)_Euro7"/>
      <sheetName val="Vol_&amp;_Assumpt7"/>
      <sheetName val="Europe_PU-16"/>
      <sheetName val="Europe_PU_16"/>
      <sheetName val="MPL_技連6"/>
      <sheetName val="342E_BLOCK6"/>
      <sheetName val="Spec(1)_Euro6"/>
      <sheetName val="Vol_&amp;_Assumpt6"/>
      <sheetName val="Europe_PU-13"/>
      <sheetName val="Europe_PU_13"/>
      <sheetName val="MPL_技連3"/>
      <sheetName val="342E_BLOCK3"/>
      <sheetName val="Spec(1)_Euro3"/>
      <sheetName val="Vol_&amp;_Assumpt3"/>
      <sheetName val="Europe_PU-14"/>
      <sheetName val="Europe_PU_14"/>
      <sheetName val="MPL_技連4"/>
      <sheetName val="342E_BLOCK4"/>
      <sheetName val="Spec(1)_Euro4"/>
      <sheetName val="Vol_&amp;_Assumpt4"/>
      <sheetName val="Europe_PU-15"/>
      <sheetName val="Europe_PU_15"/>
      <sheetName val="MPL_技連5"/>
      <sheetName val="342E_BLOCK5"/>
      <sheetName val="Spec(1)_Euro5"/>
      <sheetName val="Vol_&amp;_Assumpt5"/>
      <sheetName val="Europe_PU-19"/>
      <sheetName val="Europe_PU_19"/>
      <sheetName val="MPL_技連9"/>
      <sheetName val="342E_BLOCK9"/>
      <sheetName val="Spec(1)_Euro9"/>
      <sheetName val="Vol_&amp;_Assumpt9"/>
      <sheetName val="Europe_PU-18"/>
      <sheetName val="Europe_PU_18"/>
      <sheetName val="MPL_技連8"/>
      <sheetName val="342E_BLOCK8"/>
      <sheetName val="Spec(1)_Euro8"/>
      <sheetName val="Vol_&amp;_Assumpt8"/>
      <sheetName val="Europe_PU-119"/>
      <sheetName val="Europe_PU_119"/>
      <sheetName val="MPL_技連19"/>
      <sheetName val="342E_BLOCK19"/>
      <sheetName val="Spec(1)_Euro19"/>
      <sheetName val="Vol_&amp;_Assumpt19"/>
      <sheetName val="Europe_PU-111"/>
      <sheetName val="Europe_PU_111"/>
      <sheetName val="MPL_技連11"/>
      <sheetName val="342E_BLOCK11"/>
      <sheetName val="Spec(1)_Euro11"/>
      <sheetName val="Vol_&amp;_Assumpt11"/>
      <sheetName val="Europe_PU-110"/>
      <sheetName val="Europe_PU_110"/>
      <sheetName val="MPL_技連10"/>
      <sheetName val="342E_BLOCK10"/>
      <sheetName val="Spec(1)_Euro10"/>
      <sheetName val="Vol_&amp;_Assumpt10"/>
      <sheetName val="Europe_PU-112"/>
      <sheetName val="Europe_PU_112"/>
      <sheetName val="MPL_技連12"/>
      <sheetName val="342E_BLOCK12"/>
      <sheetName val="Spec(1)_Euro12"/>
      <sheetName val="Vol_&amp;_Assumpt12"/>
      <sheetName val="Europe_PU-113"/>
      <sheetName val="Europe_PU_113"/>
      <sheetName val="MPL_技連13"/>
      <sheetName val="342E_BLOCK13"/>
      <sheetName val="Spec(1)_Euro13"/>
      <sheetName val="Vol_&amp;_Assumpt13"/>
      <sheetName val="Europe_PU-114"/>
      <sheetName val="Europe_PU_114"/>
      <sheetName val="MPL_技連14"/>
      <sheetName val="342E_BLOCK14"/>
      <sheetName val="Spec(1)_Euro14"/>
      <sheetName val="Vol_&amp;_Assumpt14"/>
      <sheetName val="Europe_PU-115"/>
      <sheetName val="Europe_PU_115"/>
      <sheetName val="MPL_技連15"/>
      <sheetName val="342E_BLOCK15"/>
      <sheetName val="Spec(1)_Euro15"/>
      <sheetName val="Vol_&amp;_Assumpt15"/>
      <sheetName val="Europe_PU-116"/>
      <sheetName val="Europe_PU_116"/>
      <sheetName val="MPL_技連16"/>
      <sheetName val="342E_BLOCK16"/>
      <sheetName val="Spec(1)_Euro16"/>
      <sheetName val="Vol_&amp;_Assumpt16"/>
      <sheetName val="Europe_PU-117"/>
      <sheetName val="Europe_PU_117"/>
      <sheetName val="MPL_技連17"/>
      <sheetName val="342E_BLOCK17"/>
      <sheetName val="Spec(1)_Euro17"/>
      <sheetName val="Vol_&amp;_Assumpt17"/>
      <sheetName val="Europe_PU-118"/>
      <sheetName val="Europe_PU_118"/>
      <sheetName val="MPL_技連18"/>
      <sheetName val="342E_BLOCK18"/>
      <sheetName val="Spec(1)_Euro18"/>
      <sheetName val="Vol_&amp;_Assumpt18"/>
      <sheetName val="Europe_PU-120"/>
      <sheetName val="Europe_PU_120"/>
      <sheetName val="MPL_技連20"/>
      <sheetName val="342E_BLOCK20"/>
      <sheetName val="Spec(1)_Euro20"/>
      <sheetName val="Vol_&amp;_Assumpt20"/>
      <sheetName val="Europe_PU-121"/>
      <sheetName val="Europe_PU_121"/>
      <sheetName val="MPL_技連21"/>
      <sheetName val="342E_BLOCK21"/>
      <sheetName val="Spec(1)_Euro21"/>
      <sheetName val="Vol_&amp;_Assumpt21"/>
      <sheetName val="Europe_PU-122"/>
      <sheetName val="Europe_PU_122"/>
      <sheetName val="MPL_技連22"/>
      <sheetName val="342E_BLOCK22"/>
      <sheetName val="Spec(1)_Euro22"/>
      <sheetName val="Vol_&amp;_Assumpt22"/>
      <sheetName val="Europe_PU-123"/>
      <sheetName val="Europe_PU_123"/>
      <sheetName val="MPL_技連23"/>
      <sheetName val="342E_BLOCK23"/>
      <sheetName val="Spec(1)_Euro23"/>
      <sheetName val="Vol_&amp;_Assumpt23"/>
      <sheetName val="Europe_PU-124"/>
      <sheetName val="Europe_PU_124"/>
      <sheetName val="MPL_技連24"/>
      <sheetName val="342E_BLOCK24"/>
      <sheetName val="Spec(1)_Euro24"/>
      <sheetName val="Vol_&amp;_Assumpt24"/>
      <sheetName val="Europe_PU-127"/>
      <sheetName val="Europe_PU_127"/>
      <sheetName val="MPL_技連27"/>
      <sheetName val="342E_BLOCK27"/>
      <sheetName val="Spec(1)_Euro27"/>
      <sheetName val="Vol_&amp;_Assumpt27"/>
      <sheetName val="Europe_PU-125"/>
      <sheetName val="Europe_PU_125"/>
      <sheetName val="MPL_技連25"/>
      <sheetName val="342E_BLOCK25"/>
      <sheetName val="Spec(1)_Euro25"/>
      <sheetName val="Vol_&amp;_Assumpt25"/>
      <sheetName val="Europe_PU-126"/>
      <sheetName val="Europe_PU_126"/>
      <sheetName val="MPL_技連26"/>
      <sheetName val="342E_BLOCK26"/>
      <sheetName val="Spec(1)_Euro26"/>
      <sheetName val="Vol_&amp;_Assumpt26"/>
      <sheetName val="Europe_PU-131"/>
      <sheetName val="Europe_PU_131"/>
      <sheetName val="MPL_技連31"/>
      <sheetName val="342E_BLOCK31"/>
      <sheetName val="Spec(1)_Euro31"/>
      <sheetName val="Vol_&amp;_Assumpt31"/>
      <sheetName val="Europe_PU-130"/>
      <sheetName val="Europe_PU_130"/>
      <sheetName val="MPL_技連30"/>
      <sheetName val="342E_BLOCK30"/>
      <sheetName val="Spec(1)_Euro30"/>
      <sheetName val="Vol_&amp;_Assumpt30"/>
      <sheetName val="Europe_PU-129"/>
      <sheetName val="Europe_PU_129"/>
      <sheetName val="MPL_技連29"/>
      <sheetName val="342E_BLOCK29"/>
      <sheetName val="Spec(1)_Euro29"/>
      <sheetName val="Vol_&amp;_Assumpt29"/>
      <sheetName val="Europe_PU-128"/>
      <sheetName val="Europe_PU_128"/>
      <sheetName val="MPL_技連28"/>
      <sheetName val="342E_BLOCK28"/>
      <sheetName val="Spec(1)_Euro28"/>
      <sheetName val="Vol_&amp;_Assumpt28"/>
      <sheetName val="Europe_PU-133"/>
      <sheetName val="Europe_PU_133"/>
      <sheetName val="MPL_技連33"/>
      <sheetName val="342E_BLOCK33"/>
      <sheetName val="Spec(1)_Euro33"/>
      <sheetName val="Vol_&amp;_Assumpt33"/>
      <sheetName val="Europe_PU-132"/>
      <sheetName val="Europe_PU_132"/>
      <sheetName val="MPL_技連32"/>
      <sheetName val="342E_BLOCK32"/>
      <sheetName val="Spec(1)_Euro32"/>
      <sheetName val="Vol_&amp;_Assumpt32"/>
      <sheetName val="Europe_PU-135"/>
      <sheetName val="Europe_PU_135"/>
      <sheetName val="MPL_技連35"/>
      <sheetName val="342E_BLOCK35"/>
      <sheetName val="Spec(1)_Euro35"/>
      <sheetName val="Vol_&amp;_Assumpt35"/>
      <sheetName val="Europe_PU-134"/>
      <sheetName val="Europe_PU_134"/>
      <sheetName val="MPL_技連34"/>
      <sheetName val="342E_BLOCK34"/>
      <sheetName val="Spec(1)_Euro34"/>
      <sheetName val="Vol_&amp;_Assumpt34"/>
      <sheetName val="Europe_PU-137"/>
      <sheetName val="Europe_PU_137"/>
      <sheetName val="MPL_技連37"/>
      <sheetName val="342E_BLOCK37"/>
      <sheetName val="Spec(1)_Euro37"/>
      <sheetName val="Vol_&amp;_Assumpt37"/>
      <sheetName val="Europe_PU-136"/>
      <sheetName val="Europe_PU_136"/>
      <sheetName val="MPL_技連36"/>
      <sheetName val="342E_BLOCK36"/>
      <sheetName val="Spec(1)_Euro36"/>
      <sheetName val="Vol_&amp;_Assumpt36"/>
      <sheetName val="Europe_PU-138"/>
      <sheetName val="Europe_PU_138"/>
      <sheetName val="MPL_技連38"/>
      <sheetName val="342E_BLOCK38"/>
      <sheetName val="Spec(1)_Euro38"/>
      <sheetName val="Vol_&amp;_Assumpt38"/>
      <sheetName val="Europe_PU-139"/>
      <sheetName val="Europe_PU_139"/>
      <sheetName val="MPL_技連39"/>
      <sheetName val="342E_BLOCK39"/>
      <sheetName val="Spec(1)_Euro39"/>
      <sheetName val="Vol_&amp;_Assumpt39"/>
      <sheetName val="Europe_PU-143"/>
      <sheetName val="Europe_PU_143"/>
      <sheetName val="MPL_技連43"/>
      <sheetName val="342E_BLOCK43"/>
      <sheetName val="Spec(1)_Euro43"/>
      <sheetName val="Vol_&amp;_Assumpt43"/>
      <sheetName val="Europe_PU-142"/>
      <sheetName val="Europe_PU_142"/>
      <sheetName val="MPL_技連42"/>
      <sheetName val="342E_BLOCK42"/>
      <sheetName val="Spec(1)_Euro42"/>
      <sheetName val="Vol_&amp;_Assumpt42"/>
      <sheetName val="Europe_PU-141"/>
      <sheetName val="Europe_PU_141"/>
      <sheetName val="MPL_技連41"/>
      <sheetName val="342E_BLOCK41"/>
      <sheetName val="Spec(1)_Euro41"/>
      <sheetName val="Vol_&amp;_Assumpt41"/>
      <sheetName val="Europe_PU-140"/>
      <sheetName val="Europe_PU_140"/>
      <sheetName val="MPL_技連40"/>
      <sheetName val="342E_BLOCK40"/>
      <sheetName val="Spec(1)_Euro40"/>
      <sheetName val="Vol_&amp;_Assumpt40"/>
      <sheetName val="Europe_PU-144"/>
      <sheetName val="Europe_PU_144"/>
      <sheetName val="MPL_技連44"/>
      <sheetName val="342E_BLOCK44"/>
      <sheetName val="Spec(1)_Euro44"/>
      <sheetName val="Vol_&amp;_Assumpt44"/>
      <sheetName val="Europe_PU-151"/>
      <sheetName val="Europe_PU_151"/>
      <sheetName val="MPL_技連51"/>
      <sheetName val="342E_BLOCK51"/>
      <sheetName val="Spec(1)_Euro51"/>
      <sheetName val="Vol_&amp;_Assumpt51"/>
      <sheetName val="Europe_PU-145"/>
      <sheetName val="Europe_PU_145"/>
      <sheetName val="MPL_技連45"/>
      <sheetName val="342E_BLOCK45"/>
      <sheetName val="Spec(1)_Euro45"/>
      <sheetName val="Vol_&amp;_Assumpt45"/>
      <sheetName val="Europe_PU-147"/>
      <sheetName val="Europe_PU_147"/>
      <sheetName val="MPL_技連47"/>
      <sheetName val="342E_BLOCK47"/>
      <sheetName val="Spec(1)_Euro47"/>
      <sheetName val="Vol_&amp;_Assumpt47"/>
      <sheetName val="Europe_PU-146"/>
      <sheetName val="Europe_PU_146"/>
      <sheetName val="MPL_技連46"/>
      <sheetName val="342E_BLOCK46"/>
      <sheetName val="Spec(1)_Euro46"/>
      <sheetName val="Vol_&amp;_Assumpt46"/>
      <sheetName val="Europe_PU-148"/>
      <sheetName val="Europe_PU_148"/>
      <sheetName val="MPL_技連48"/>
      <sheetName val="342E_BLOCK48"/>
      <sheetName val="Spec(1)_Euro48"/>
      <sheetName val="Vol_&amp;_Assumpt48"/>
      <sheetName val="Europe_PU-149"/>
      <sheetName val="Europe_PU_149"/>
      <sheetName val="MPL_技連49"/>
      <sheetName val="342E_BLOCK49"/>
      <sheetName val="Spec(1)_Euro49"/>
      <sheetName val="Vol_&amp;_Assumpt49"/>
      <sheetName val="Europe_PU-150"/>
      <sheetName val="Europe_PU_150"/>
      <sheetName val="MPL_技連50"/>
      <sheetName val="342E_BLOCK50"/>
      <sheetName val="Spec(1)_Euro50"/>
      <sheetName val="Vol_&amp;_Assumpt50"/>
      <sheetName val="Europe_PU-152"/>
      <sheetName val="Europe_PU_152"/>
      <sheetName val="MPL_技連52"/>
      <sheetName val="342E_BLOCK52"/>
      <sheetName val="Spec(1)_Euro52"/>
      <sheetName val="Vol_&amp;_Assumpt52"/>
      <sheetName val="Europe_PU-156"/>
      <sheetName val="Europe_PU_156"/>
      <sheetName val="MPL_技連56"/>
      <sheetName val="342E_BLOCK56"/>
      <sheetName val="Spec(1)_Euro56"/>
      <sheetName val="Vol_&amp;_Assumpt56"/>
      <sheetName val="Europe_PU-154"/>
      <sheetName val="Europe_PU_154"/>
      <sheetName val="MPL_技連54"/>
      <sheetName val="342E_BLOCK54"/>
      <sheetName val="Spec(1)_Euro54"/>
      <sheetName val="Vol_&amp;_Assumpt54"/>
      <sheetName val="Europe_PU-153"/>
      <sheetName val="Europe_PU_153"/>
      <sheetName val="MPL_技連53"/>
      <sheetName val="342E_BLOCK53"/>
      <sheetName val="Spec(1)_Euro53"/>
      <sheetName val="Vol_&amp;_Assumpt53"/>
      <sheetName val="Europe_PU-155"/>
      <sheetName val="Europe_PU_155"/>
      <sheetName val="MPL_技連55"/>
      <sheetName val="342E_BLOCK55"/>
      <sheetName val="Spec(1)_Euro55"/>
      <sheetName val="Vol_&amp;_Assumpt55"/>
      <sheetName val="Europe_PU-162"/>
      <sheetName val="Europe_PU_162"/>
      <sheetName val="MPL_技連62"/>
      <sheetName val="342E_BLOCK62"/>
      <sheetName val="Spec(1)_Euro62"/>
      <sheetName val="Vol_&amp;_Assumpt62"/>
      <sheetName val="Europe_PU-157"/>
      <sheetName val="Europe_PU_157"/>
      <sheetName val="MPL_技連57"/>
      <sheetName val="342E_BLOCK57"/>
      <sheetName val="Spec(1)_Euro57"/>
      <sheetName val="Vol_&amp;_Assumpt57"/>
      <sheetName val="Europe_PU-158"/>
      <sheetName val="Europe_PU_158"/>
      <sheetName val="MPL_技連58"/>
      <sheetName val="342E_BLOCK58"/>
      <sheetName val="Spec(1)_Euro58"/>
      <sheetName val="Vol_&amp;_Assumpt58"/>
      <sheetName val="Europe_PU-159"/>
      <sheetName val="Europe_PU_159"/>
      <sheetName val="MPL_技連59"/>
      <sheetName val="342E_BLOCK59"/>
      <sheetName val="Spec(1)_Euro59"/>
      <sheetName val="Vol_&amp;_Assumpt59"/>
      <sheetName val="Europe_PU-160"/>
      <sheetName val="Europe_PU_160"/>
      <sheetName val="MPL_技連60"/>
      <sheetName val="342E_BLOCK60"/>
      <sheetName val="Spec(1)_Euro60"/>
      <sheetName val="Vol_&amp;_Assumpt60"/>
      <sheetName val="Europe_PU-161"/>
      <sheetName val="Europe_PU_161"/>
      <sheetName val="MPL_技連61"/>
      <sheetName val="342E_BLOCK61"/>
      <sheetName val="Spec(1)_Euro61"/>
      <sheetName val="Vol_&amp;_Assumpt61"/>
      <sheetName val="Europe_PU-163"/>
      <sheetName val="Europe_PU_163"/>
      <sheetName val="MPL_技連63"/>
      <sheetName val="342E_BLOCK63"/>
      <sheetName val="Spec(1)_Euro63"/>
      <sheetName val="Vol_&amp;_Assumpt63"/>
      <sheetName val="Europe_PU-164"/>
      <sheetName val="Europe_PU_164"/>
      <sheetName val="MPL_技連64"/>
      <sheetName val="342E_BLOCK64"/>
      <sheetName val="Spec(1)_Euro64"/>
      <sheetName val="Vol_&amp;_Assumpt64"/>
      <sheetName val="Europe_PU-174"/>
      <sheetName val="Europe_PU_174"/>
      <sheetName val="MPL_技連74"/>
      <sheetName val="342E_BLOCK74"/>
      <sheetName val="Spec(1)_Euro74"/>
      <sheetName val="Vol_&amp;_Assumpt74"/>
      <sheetName val="Europe_PU-166"/>
      <sheetName val="Europe_PU_166"/>
      <sheetName val="MPL_技連66"/>
      <sheetName val="342E_BLOCK66"/>
      <sheetName val="Spec(1)_Euro66"/>
      <sheetName val="Vol_&amp;_Assumpt66"/>
      <sheetName val="Europe_PU-165"/>
      <sheetName val="Europe_PU_165"/>
      <sheetName val="MPL_技連65"/>
      <sheetName val="342E_BLOCK65"/>
      <sheetName val="Spec(1)_Euro65"/>
      <sheetName val="Vol_&amp;_Assumpt65"/>
      <sheetName val="Europe_PU-167"/>
      <sheetName val="Europe_PU_167"/>
      <sheetName val="MPL_技連67"/>
      <sheetName val="342E_BLOCK67"/>
      <sheetName val="Spec(1)_Euro67"/>
      <sheetName val="Vol_&amp;_Assumpt67"/>
      <sheetName val="Europe_PU-168"/>
      <sheetName val="Europe_PU_168"/>
      <sheetName val="MPL_技連68"/>
      <sheetName val="342E_BLOCK68"/>
      <sheetName val="Spec(1)_Euro68"/>
      <sheetName val="Vol_&amp;_Assumpt68"/>
      <sheetName val="Europe_PU-169"/>
      <sheetName val="Europe_PU_169"/>
      <sheetName val="MPL_技連69"/>
      <sheetName val="342E_BLOCK69"/>
      <sheetName val="Spec(1)_Euro69"/>
      <sheetName val="Vol_&amp;_Assumpt69"/>
      <sheetName val="Europe_PU-172"/>
      <sheetName val="Europe_PU_172"/>
      <sheetName val="MPL_技連72"/>
      <sheetName val="342E_BLOCK72"/>
      <sheetName val="Spec(1)_Euro72"/>
      <sheetName val="Vol_&amp;_Assumpt72"/>
      <sheetName val="Europe_PU-170"/>
      <sheetName val="Europe_PU_170"/>
      <sheetName val="MPL_技連70"/>
      <sheetName val="342E_BLOCK70"/>
      <sheetName val="Spec(1)_Euro70"/>
      <sheetName val="Vol_&amp;_Assumpt70"/>
      <sheetName val="Europe_PU-171"/>
      <sheetName val="Europe_PU_171"/>
      <sheetName val="MPL_技連71"/>
      <sheetName val="342E_BLOCK71"/>
      <sheetName val="Spec(1)_Euro71"/>
      <sheetName val="Vol_&amp;_Assumpt71"/>
      <sheetName val="Europe_PU-173"/>
      <sheetName val="Europe_PU_173"/>
      <sheetName val="MPL_技連73"/>
      <sheetName val="342E_BLOCK73"/>
      <sheetName val="Spec(1)_Euro73"/>
      <sheetName val="Vol_&amp;_Assumpt73"/>
      <sheetName val="Europe_PU-175"/>
      <sheetName val="Europe_PU_175"/>
      <sheetName val="MPL_技連75"/>
      <sheetName val="342E_BLOCK75"/>
      <sheetName val="Spec(1)_Euro75"/>
      <sheetName val="Vol_&amp;_Assumpt75"/>
      <sheetName val="Europe_PU-176"/>
      <sheetName val="Europe_PU_176"/>
      <sheetName val="MPL_技連76"/>
      <sheetName val="342E_BLOCK76"/>
      <sheetName val="Spec(1)_Euro76"/>
      <sheetName val="Vol_&amp;_Assumpt76"/>
      <sheetName val="Europe_PU-177"/>
      <sheetName val="Europe_PU_177"/>
      <sheetName val="MPL_技連77"/>
      <sheetName val="342E_BLOCK77"/>
      <sheetName val="Spec(1)_Euro77"/>
      <sheetName val="Vol_&amp;_Assumpt77"/>
      <sheetName val="Europe_PU-178"/>
      <sheetName val="Europe_PU_178"/>
      <sheetName val="MPL_技連78"/>
      <sheetName val="342E_BLOCK78"/>
      <sheetName val="Spec(1)_Euro78"/>
      <sheetName val="Vol_&amp;_Assumpt78"/>
      <sheetName val="Europe_PU-180"/>
      <sheetName val="Europe_PU_180"/>
      <sheetName val="MPL_技連80"/>
      <sheetName val="342E_BLOCK80"/>
      <sheetName val="Spec(1)_Euro80"/>
      <sheetName val="Vol_&amp;_Assumpt80"/>
      <sheetName val="Europe_PU-179"/>
      <sheetName val="Europe_PU_179"/>
      <sheetName val="MPL_技連79"/>
      <sheetName val="342E_BLOCK79"/>
      <sheetName val="Spec(1)_Euro79"/>
      <sheetName val="Vol_&amp;_Assumpt79"/>
      <sheetName val="Europe_PU-181"/>
      <sheetName val="Europe_PU_181"/>
      <sheetName val="MPL_技連81"/>
      <sheetName val="342E_BLOCK81"/>
      <sheetName val="Spec(1)_Euro81"/>
      <sheetName val="Vol_&amp;_Assumpt81"/>
      <sheetName val="Europe_PU-182"/>
      <sheetName val="Europe_PU_182"/>
      <sheetName val="MPL_技連82"/>
      <sheetName val="342E_BLOCK82"/>
      <sheetName val="Spec(1)_Euro82"/>
      <sheetName val="Vol_&amp;_Assumpt82"/>
      <sheetName val="ﾊﾟｲﾌﾟ"/>
      <sheetName val="他材料費"/>
      <sheetName val="熱延鋼板"/>
      <sheetName val="冷延鋼板"/>
      <sheetName val="Cbuflo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Europe_PU-192"/>
      <sheetName val="Europe_PU_192"/>
      <sheetName val="MPL_技連92"/>
      <sheetName val="342E_BLOCK92"/>
      <sheetName val="Spec(1)_Euro92"/>
      <sheetName val="Vol_&amp;_Assumpt92"/>
      <sheetName val="Europe_PU-189"/>
      <sheetName val="Europe_PU_189"/>
      <sheetName val="MPL_技連89"/>
      <sheetName val="342E_BLOCK89"/>
      <sheetName val="Spec(1)_Euro89"/>
      <sheetName val="Vol_&amp;_Assumpt89"/>
      <sheetName val="Europe_PU-184"/>
      <sheetName val="Europe_PU_184"/>
      <sheetName val="MPL_技連84"/>
      <sheetName val="342E_BLOCK84"/>
      <sheetName val="Spec(1)_Euro84"/>
      <sheetName val="Vol_&amp;_Assumpt84"/>
      <sheetName val="Europe_PU-183"/>
      <sheetName val="Europe_PU_183"/>
      <sheetName val="MPL_技連83"/>
      <sheetName val="342E_BLOCK83"/>
      <sheetName val="Spec(1)_Euro83"/>
      <sheetName val="Vol_&amp;_Assumpt83"/>
      <sheetName val="Europe_PU-185"/>
      <sheetName val="Europe_PU_185"/>
      <sheetName val="MPL_技連85"/>
      <sheetName val="342E_BLOCK85"/>
      <sheetName val="Spec(1)_Euro85"/>
      <sheetName val="Vol_&amp;_Assumpt85"/>
      <sheetName val="Europe_PU-186"/>
      <sheetName val="Europe_PU_186"/>
      <sheetName val="MPL_技連86"/>
      <sheetName val="342E_BLOCK86"/>
      <sheetName val="Spec(1)_Euro86"/>
      <sheetName val="Vol_&amp;_Assumpt86"/>
      <sheetName val="Europe_PU-187"/>
      <sheetName val="Europe_PU_187"/>
      <sheetName val="MPL_技連87"/>
      <sheetName val="342E_BLOCK87"/>
      <sheetName val="Spec(1)_Euro87"/>
      <sheetName val="Vol_&amp;_Assumpt87"/>
      <sheetName val="Europe_PU-188"/>
      <sheetName val="Europe_PU_188"/>
      <sheetName val="MPL_技連88"/>
      <sheetName val="342E_BLOCK88"/>
      <sheetName val="Spec(1)_Euro88"/>
      <sheetName val="Vol_&amp;_Assumpt88"/>
      <sheetName val="Europe_PU-190"/>
      <sheetName val="Europe_PU_190"/>
      <sheetName val="MPL_技連90"/>
      <sheetName val="342E_BLOCK90"/>
      <sheetName val="Spec(1)_Euro90"/>
      <sheetName val="Vol_&amp;_Assumpt90"/>
      <sheetName val="Europe_PU-191"/>
      <sheetName val="Europe_PU_191"/>
      <sheetName val="MPL_技連91"/>
      <sheetName val="342E_BLOCK91"/>
      <sheetName val="Spec(1)_Euro91"/>
      <sheetName val="Vol_&amp;_Assumpt91"/>
      <sheetName val="Europe_PU-194"/>
      <sheetName val="Europe_PU_194"/>
      <sheetName val="MPL_技連94"/>
      <sheetName val="342E_BLOCK94"/>
      <sheetName val="Spec(1)_Euro94"/>
      <sheetName val="Vol_&amp;_Assumpt94"/>
      <sheetName val="Europe_PU-193"/>
      <sheetName val="Europe_PU_193"/>
      <sheetName val="MPL_技連93"/>
      <sheetName val="342E_BLOCK93"/>
      <sheetName val="Spec(1)_Euro93"/>
      <sheetName val="Vol_&amp;_Assumpt93"/>
      <sheetName val="Europe_PU-195"/>
      <sheetName val="Europe_PU_195"/>
      <sheetName val="MPL_技連95"/>
      <sheetName val="342E_BLOCK95"/>
      <sheetName val="Spec(1)_Euro95"/>
      <sheetName val="Vol_&amp;_Assumpt95"/>
      <sheetName val="P207_FR"/>
      <sheetName val="Master_Parts_List"/>
      <sheetName val="S4500,_CKDs"/>
      <sheetName val="Systm_NCR"/>
      <sheetName val="After_Sales_Supplier_#'s"/>
      <sheetName val="Volume_&amp;_Assumptions"/>
      <sheetName val="Specific_Data"/>
      <sheetName val="BOM_-_Engineering"/>
      <sheetName val="Croisements_(Ai_-_Ej_-_Mk)_X85"/>
      <sheetName val="Grille_Q3P_Organe"/>
      <sheetName val="PREÇOS_PEÇAS"/>
      <sheetName val="Grid_Charts"/>
      <sheetName val="342A_Block"/>
      <sheetName val="Absorption_Coefficient_(2)"/>
      <sheetName val="Europe_PU-196"/>
      <sheetName val="Europe_PU_196"/>
      <sheetName val="MPL_技連96"/>
      <sheetName val="342E_BLOCK96"/>
      <sheetName val="Spec(1)_Euro96"/>
      <sheetName val="Vol_&amp;_Assumpt96"/>
      <sheetName val="P207_FR1"/>
      <sheetName val="Master_Parts_List1"/>
      <sheetName val="S4500,_CKDs1"/>
      <sheetName val="Systm_NCR1"/>
      <sheetName val="After_Sales_Supplier_#'s1"/>
      <sheetName val="Volume_&amp;_Assumptions1"/>
      <sheetName val="Specific_Data1"/>
      <sheetName val="BOM_-_Engineering1"/>
      <sheetName val="Croisements_(Ai_-_Ej_-_Mk)_X851"/>
      <sheetName val="Grille_Q3P_Organe1"/>
      <sheetName val="PREÇOS_PEÇAS1"/>
      <sheetName val="Grid_Charts1"/>
      <sheetName val="342A_Block1"/>
      <sheetName val="Absorption_Coefficient_(2)1"/>
      <sheetName val="Europe_PU-197"/>
      <sheetName val="Europe_PU_197"/>
      <sheetName val="MPL_技連97"/>
      <sheetName val="342E_BLOCK97"/>
      <sheetName val="Spec(1)_Euro97"/>
      <sheetName val="Vol_&amp;_Assumpt97"/>
      <sheetName val="P207_FR2"/>
      <sheetName val="Master_Parts_List2"/>
      <sheetName val="S4500,_CKDs2"/>
      <sheetName val="Systm_NCR2"/>
      <sheetName val="After_Sales_Supplier_#'s2"/>
      <sheetName val="Volume_&amp;_Assumptions2"/>
      <sheetName val="Specific_Data2"/>
      <sheetName val="BOM_-_Engineering2"/>
      <sheetName val="Croisements_(Ai_-_Ej_-_Mk)_X852"/>
      <sheetName val="Grille_Q3P_Organe2"/>
      <sheetName val="PREÇOS_PEÇAS2"/>
      <sheetName val="Grid_Charts2"/>
      <sheetName val="342A_Block2"/>
      <sheetName val="Absorption_Coefficient_(2)2"/>
      <sheetName val="Europe_PU-198"/>
      <sheetName val="Europe_PU_198"/>
      <sheetName val="MPL_技連98"/>
      <sheetName val="342E_BLOCK98"/>
      <sheetName val="Spec(1)_Euro98"/>
      <sheetName val="Vol_&amp;_Assumpt98"/>
      <sheetName val="P207_FR3"/>
      <sheetName val="Master_Parts_List3"/>
      <sheetName val="S4500,_CKDs3"/>
      <sheetName val="Systm_NCR3"/>
      <sheetName val="After_Sales_Supplier_#'s3"/>
      <sheetName val="Volume_&amp;_Assumptions3"/>
      <sheetName val="Specific_Data3"/>
      <sheetName val="BOM_-_Engineering3"/>
      <sheetName val="Croisements_(Ai_-_Ej_-_Mk)_X853"/>
      <sheetName val="Grille_Q3P_Organe3"/>
      <sheetName val="PREÇOS_PEÇAS3"/>
      <sheetName val="Grid_Charts3"/>
      <sheetName val="342A_Block3"/>
      <sheetName val="Absorption_Coefficient_(2)3"/>
      <sheetName val="P207_FR4"/>
      <sheetName val="Master_Parts_List4"/>
      <sheetName val="S4500,_CKDs4"/>
      <sheetName val="Systm_NCR4"/>
      <sheetName val="After_Sales_Supplier_#'s4"/>
      <sheetName val="Volume_&amp;_Assumptions4"/>
      <sheetName val="Specific_Data4"/>
      <sheetName val="BOM_-_Engineering4"/>
      <sheetName val="Croisements_(Ai_-_Ej_-_Mk)_X854"/>
      <sheetName val="Grille_Q3P_Organe4"/>
      <sheetName val="PREÇOS_PEÇAS4"/>
      <sheetName val="Grid_Charts4"/>
      <sheetName val="342A_Block4"/>
      <sheetName val="Absorption_Coefficient_(2)4"/>
      <sheetName val="Europe_PU-199"/>
      <sheetName val="Europe_PU_199"/>
      <sheetName val="MPL_技連99"/>
      <sheetName val="342E_BLOCK99"/>
      <sheetName val="Spec(1)_Euro99"/>
      <sheetName val="Vol_&amp;_Assumpt99"/>
      <sheetName val="P207_FR5"/>
      <sheetName val="Master_Parts_List5"/>
      <sheetName val="S4500,_CKDs5"/>
      <sheetName val="Systm_NCR5"/>
      <sheetName val="After_Sales_Supplier_#'s5"/>
      <sheetName val="Volume_&amp;_Assumptions5"/>
      <sheetName val="Specific_Data5"/>
      <sheetName val="BOM_-_Engineering5"/>
      <sheetName val="Croisements_(Ai_-_Ej_-_Mk)_X855"/>
      <sheetName val="Grille_Q3P_Organe5"/>
      <sheetName val="PREÇOS_PEÇAS5"/>
      <sheetName val="Grid_Charts5"/>
      <sheetName val="342A_Block5"/>
      <sheetName val="Absorption_Coefficient_(2)5"/>
      <sheetName val="Europe_PU-1101"/>
      <sheetName val="Europe_PU_1101"/>
      <sheetName val="MPL_技連101"/>
      <sheetName val="342E_BLOCK101"/>
      <sheetName val="Spec(1)_Euro101"/>
      <sheetName val="Vol_&amp;_Assumpt101"/>
      <sheetName val="P207_FR7"/>
      <sheetName val="Master_Parts_List7"/>
      <sheetName val="S4500,_CKDs7"/>
      <sheetName val="Systm_NCR7"/>
      <sheetName val="After_Sales_Supplier_#'s7"/>
      <sheetName val="Volume_&amp;_Assumptions7"/>
      <sheetName val="Specific_Data7"/>
      <sheetName val="BOM_-_Engineering7"/>
      <sheetName val="Croisements_(Ai_-_Ej_-_Mk)_X857"/>
      <sheetName val="Grille_Q3P_Organe7"/>
      <sheetName val="PREÇOS_PEÇAS7"/>
      <sheetName val="Grid_Charts7"/>
      <sheetName val="342A_Block7"/>
      <sheetName val="Absorption_Coefficient_(2)7"/>
      <sheetName val="Europe_PU-1100"/>
      <sheetName val="Europe_PU_1100"/>
      <sheetName val="MPL_技連100"/>
      <sheetName val="342E_BLOCK100"/>
      <sheetName val="Spec(1)_Euro100"/>
      <sheetName val="Vol_&amp;_Assumpt100"/>
      <sheetName val="P207_FR6"/>
      <sheetName val="Master_Parts_List6"/>
      <sheetName val="S4500,_CKDs6"/>
      <sheetName val="Systm_NCR6"/>
      <sheetName val="After_Sales_Supplier_#'s6"/>
      <sheetName val="Volume_&amp;_Assumptions6"/>
      <sheetName val="Specific_Data6"/>
      <sheetName val="BOM_-_Engineering6"/>
      <sheetName val="Croisements_(Ai_-_Ej_-_Mk)_X856"/>
      <sheetName val="Grille_Q3P_Organe6"/>
      <sheetName val="PREÇOS_PEÇAS6"/>
      <sheetName val="Grid_Charts6"/>
      <sheetName val="342A_Block6"/>
      <sheetName val="Absorption_Coefficient_(2)6"/>
      <sheetName val="Europe_PU-1103"/>
      <sheetName val="Europe_PU_1103"/>
      <sheetName val="MPL_技連103"/>
      <sheetName val="342E_BLOCK103"/>
      <sheetName val="Spec(1)_Euro103"/>
      <sheetName val="Vol_&amp;_Assumpt103"/>
      <sheetName val="P207_FR9"/>
      <sheetName val="Master_Parts_List9"/>
      <sheetName val="S4500,_CKDs9"/>
      <sheetName val="Systm_NCR9"/>
      <sheetName val="After_Sales_Supplier_#'s9"/>
      <sheetName val="Volume_&amp;_Assumptions9"/>
      <sheetName val="Specific_Data9"/>
      <sheetName val="BOM_-_Engineering9"/>
      <sheetName val="Croisements_(Ai_-_Ej_-_Mk)_X859"/>
      <sheetName val="Grille_Q3P_Organe9"/>
      <sheetName val="PREÇOS_PEÇAS9"/>
      <sheetName val="Grid_Charts9"/>
      <sheetName val="342A_Block9"/>
      <sheetName val="Absorption_Coefficient_(2)9"/>
      <sheetName val="Europe_PU-1102"/>
      <sheetName val="Europe_PU_1102"/>
      <sheetName val="MPL_技連102"/>
      <sheetName val="342E_BLOCK102"/>
      <sheetName val="Spec(1)_Euro102"/>
      <sheetName val="Vol_&amp;_Assumpt102"/>
      <sheetName val="P207_FR8"/>
      <sheetName val="Master_Parts_List8"/>
      <sheetName val="S4500,_CKDs8"/>
      <sheetName val="Systm_NCR8"/>
      <sheetName val="After_Sales_Supplier_#'s8"/>
      <sheetName val="Volume_&amp;_Assumptions8"/>
      <sheetName val="Specific_Data8"/>
      <sheetName val="BOM_-_Engineering8"/>
      <sheetName val="Croisements_(Ai_-_Ej_-_Mk)_X858"/>
      <sheetName val="Grille_Q3P_Organe8"/>
      <sheetName val="PREÇOS_PEÇAS8"/>
      <sheetName val="Grid_Charts8"/>
      <sheetName val="342A_Block8"/>
      <sheetName val="Absorption_Coefficient_(2)8"/>
      <sheetName val="MATERIALS"/>
      <sheetName val="供应商日程"/>
      <sheetName val="Top50_2003 April"/>
      <sheetName val="Preise_Juli"/>
      <sheetName val="Top50_2003_April"/>
      <sheetName val="索赔（按车型）A4"/>
      <sheetName val="制造成本预算表A3"/>
      <sheetName val="销售费用预算表(A4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提案書"/>
      <sheetName val="X03HPW"/>
      <sheetName val="square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21電源工事"/>
      <sheetName val="J21HPW等"/>
      <sheetName val="D2５HPW  (2)"/>
      <sheetName val="D25ｱﾆｰﾙ"/>
      <sheetName val="B36HPW等"/>
      <sheetName val="D26HPW "/>
      <sheetName val="X03電源"/>
      <sheetName val="X03電源 (2)"/>
      <sheetName val="Sheet1"/>
      <sheetName val="X03HPW"/>
      <sheetName val="設備投資計算書の例題"/>
      <sheetName val="Sheet2"/>
      <sheetName val="Sheet3"/>
      <sheetName val="Sheet4"/>
      <sheetName val="Feuil1"/>
      <sheetName val="期首HL"/>
      <sheetName val="期首SL2"/>
      <sheetName val="Sheet7"/>
      <sheetName val="NCAB"/>
      <sheetName val="Rates &amp; Data"/>
      <sheetName val="MT-0 (出図用)"/>
      <sheetName val="ﾒﾘｯﾄｲﾝｸﾘｰｽ"/>
      <sheetName val="ポイント表"/>
      <sheetName val="最新所属（16th Apr.）"/>
      <sheetName val="調整給３"/>
      <sheetName val="square1"/>
      <sheetName val="OUTPUT(MH2)"/>
      <sheetName val="ﾄﾞﾛｯﾌﾟﾀﾞｳﾝLIST"/>
      <sheetName val="List_data"/>
      <sheetName val="ﾄﾞﾛｯﾌﾟﾀﾞｳﾝLIST (2)"/>
      <sheetName val="表紙(代表者)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総括"/>
      <sheetName val="印刷データ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YOTA2"/>
      <sheetName val="X55"/>
      <sheetName val="F50"/>
      <sheetName val="X55 (2)"/>
      <sheetName val="F50 (2)"/>
      <sheetName val="Europe PU-1"/>
      <sheetName val="IS4-55"/>
      <sheetName val="手引き書"/>
      <sheetName val="除電バー"/>
      <sheetName val="T4"/>
      <sheetName val="G4"/>
      <sheetName val="G2"/>
      <sheetName val="G1"/>
      <sheetName val="T6"/>
      <sheetName val="T9"/>
      <sheetName val="T5"/>
      <sheetName val="G6"/>
      <sheetName val="T7"/>
      <sheetName val="T8"/>
      <sheetName val="Sheet2"/>
      <sheetName val="Sheet3"/>
      <sheetName val="#REF"/>
      <sheetName val="設計通知"/>
      <sheetName val="電気設備表"/>
      <sheetName val="総合B"/>
      <sheetName val="改訂通知 "/>
      <sheetName val="表紙"/>
      <sheetName val="表紙ウラ"/>
      <sheetName val="本文"/>
      <sheetName val="別紙ー１"/>
      <sheetName val="別紙ー２"/>
      <sheetName val="Sheet1"/>
      <sheetName val="納入総括"/>
      <sheetName val="①評価項目_メーカー"/>
      <sheetName val="B1～B8新会議議事録（N0_B00表紙）改04"/>
      <sheetName val="X55_(2)2"/>
      <sheetName val="F50_(2)2"/>
      <sheetName val="Europe_PU-12"/>
      <sheetName val="改訂通知_2"/>
      <sheetName val="X55_(2)"/>
      <sheetName val="F50_(2)"/>
      <sheetName val="Europe_PU-1"/>
      <sheetName val="改訂通知_"/>
      <sheetName val="ﾄﾞﾛｯﾌﾟﾀﾞｳﾝLIST"/>
      <sheetName val="X55_(2)1"/>
      <sheetName val="F50_(2)1"/>
      <sheetName val="Europe_PU-11"/>
      <sheetName val="改訂通知_1"/>
      <sheetName val="X55_(2)3"/>
      <sheetName val="F50_(2)3"/>
      <sheetName val="Europe_PU-13"/>
      <sheetName val="改訂通知_3"/>
      <sheetName val="Table"/>
      <sheetName val="Q_仕向地と現象（５１３種）G10"/>
      <sheetName val="Q_仕向地と現象（５１３種）G9"/>
      <sheetName val="Q_仕向地と現象（５６３種）G11"/>
      <sheetName val="Q_仕向地と現象（５６３種）G12"/>
      <sheetName val="Q_仕向地と車型製品（５１３種）G5"/>
      <sheetName val="Q_仕向地と車型製品（５１３種）G6"/>
      <sheetName val="Q_仕向地と車型製品（５６３種）G7"/>
      <sheetName val="Q_仕向地と車型製品（５６３種）G8"/>
      <sheetName val="Q_車種製品別発生推移（発生個数）G14"/>
      <sheetName val="Q_車種製品別発生推移（負担金額）G13"/>
      <sheetName val="Q_仕向地と製品比率G3"/>
      <sheetName val="Q_仕向地と製品比率G4"/>
      <sheetName val="Q_発生個数推移G2"/>
      <sheetName val="Q_負担金額推移G1"/>
      <sheetName val="Price"/>
      <sheetName val="Materials"/>
      <sheetName val="車体構成"/>
      <sheetName val="Assign KOSU"/>
      <sheetName val="Ref"/>
      <sheetName val="Feuil1"/>
      <sheetName val="プルリスト"/>
      <sheetName val="List_data"/>
      <sheetName val="日産呼称DATA"/>
      <sheetName val="対象部番一覧"/>
      <sheetName val="Titel"/>
      <sheetName val="Hyp"/>
      <sheetName val="square1"/>
      <sheetName val="外注納不"/>
      <sheetName val="Capacity"/>
      <sheetName val="Capacity(基本台数)"/>
      <sheetName val="Capacity(150%) (2)"/>
      <sheetName val="ﾌ95年生産実績台数"/>
      <sheetName val="業務"/>
      <sheetName val="総括"/>
      <sheetName val="Hoja1"/>
      <sheetName val="F4301"/>
      <sheetName val="Rates &amp; Data"/>
      <sheetName val="74上"/>
      <sheetName val="X03HPW"/>
    </sheetNames>
    <definedNames>
      <definedName name="Record1"/>
      <definedName name="Record2"/>
      <definedName name="Record3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小島"/>
      <sheetName val="表紙"/>
      <sheetName val="説&lt;2&gt;-2QRE活動日程"/>
      <sheetName val="添③PPC用紙"/>
      <sheetName val="添④製造への引継ぎシート (DRBFM)"/>
      <sheetName val="添⑤DRBFM実施完了報告書"/>
      <sheetName val="添⑥製造への引継ぎシート (Tier2以降)"/>
      <sheetName val="添⑦品質管理ﾎﾟｲﾝﾄ引継ぎ報告書"/>
      <sheetName val="添⑧QCMS系統図"/>
      <sheetName val="添⑨QCMS診断ﾌｫｰﾏｯﾄ"/>
      <sheetName val="添⑩QCMS判定基準 "/>
      <sheetName val="BMC金型材料硬化処理"/>
      <sheetName val="日産呼称DATA"/>
      <sheetName val="対象部番一覧"/>
      <sheetName val="外注納不"/>
      <sheetName val="List_data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熱延鋼板"/>
      <sheetName val="冷延鋼板"/>
      <sheetName val="script fg baru"/>
      <sheetName val="MOTO"/>
      <sheetName val="X03HPW"/>
      <sheetName val="ﾘｽﾄ"/>
      <sheetName val="ﾄﾞﾛｯﾌﾟﾀﾞｳﾝLIST"/>
      <sheetName val="６２３Ｔ"/>
      <sheetName val="リスト"/>
      <sheetName val="目次小島."/>
      <sheetName val="%E7%9B%AE%E6%AC%A1%E5%B0%8F%E5%"/>
      <sheetName val="北辰"/>
      <sheetName val="小山"/>
      <sheetName val="榛名"/>
      <sheetName val="ﾏｽﾀ"/>
      <sheetName val="date"/>
    </sheetNames>
    <definedNames>
      <definedName name="Record4"/>
      <definedName name="Record5"/>
      <definedName name="印刷1"/>
      <definedName name="開く目次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準L／T"/>
    </sheetNames>
    <definedNames>
      <definedName name="Record4"/>
      <definedName name="Record5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英語"/>
      <sheetName val="instructions (日本語)"/>
      <sheetName val="日本語"/>
      <sheetName val="Feuil1 (日本語）"/>
      <sheetName val="K26不灯再発_LLC_090702"/>
      <sheetName val="moto"/>
    </sheetNames>
    <sheetDataSet>
      <sheetData sheetId="0"/>
      <sheetData sheetId="1" refreshError="1"/>
      <sheetData sheetId="2" refreshError="1"/>
      <sheetData sheetId="3">
        <row r="1">
          <cell r="A1" t="str">
            <v>1.1 ラインQRQC</v>
          </cell>
        </row>
        <row r="2">
          <cell r="A2" t="str">
            <v>1.2 課QRQC</v>
          </cell>
        </row>
        <row r="3">
          <cell r="A3" t="str">
            <v>1.3 プラントQRQC</v>
          </cell>
        </row>
        <row r="4">
          <cell r="A4" t="str">
            <v>1.4 サプライヤQRQC</v>
          </cell>
        </row>
        <row r="5">
          <cell r="A5" t="str">
            <v>1.5 ロジスティックQRQC</v>
          </cell>
        </row>
        <row r="6">
          <cell r="A6" t="str">
            <v>1.6 プロジェクトQRQC</v>
          </cell>
        </row>
        <row r="7">
          <cell r="A7" t="str">
            <v>1.7 内部品質監査</v>
          </cell>
        </row>
        <row r="8">
          <cell r="A8" t="str">
            <v>2.1 基本姿勢</v>
          </cell>
        </row>
        <row r="9">
          <cell r="A9" t="str">
            <v>3.1 予防メンテ機器の適切な管理</v>
          </cell>
        </row>
        <row r="10">
          <cell r="A10" t="str">
            <v>4.1 認定作業員</v>
          </cell>
        </row>
        <row r="11">
          <cell r="A11" t="str">
            <v>4.2 訓練を受けたプロジェクトチームメンバー</v>
          </cell>
        </row>
        <row r="12">
          <cell r="A12" t="str">
            <v>5.1 製品の識別</v>
          </cell>
        </row>
        <row r="13">
          <cell r="A13" t="str">
            <v>5.2 トレーサビリティ</v>
          </cell>
        </row>
        <row r="14">
          <cell r="A14" t="str">
            <v>5.3 得意先インターフェース製品、自己製品</v>
          </cell>
        </row>
        <row r="15">
          <cell r="A15" t="str">
            <v>5.4 工程の統計管理</v>
          </cell>
        </row>
        <row r="16">
          <cell r="A16" t="str">
            <v>5.5 ロジスティック工程</v>
          </cell>
        </row>
        <row r="17">
          <cell r="A17" t="str">
            <v>5.6 手直しゼロ</v>
          </cell>
        </row>
        <row r="18">
          <cell r="A18" t="str">
            <v>6.1 PQA</v>
          </cell>
        </row>
        <row r="19">
          <cell r="A19" t="str">
            <v>7.1 PQAおよびポカヨケ</v>
          </cell>
        </row>
        <row r="20">
          <cell r="A20" t="str">
            <v>7.2 経験活用</v>
          </cell>
        </row>
        <row r="21">
          <cell r="A21" t="str">
            <v>7.3 プロジェクト - 完全生産における製品・工程変更管理</v>
          </cell>
        </row>
      </sheetData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・市場不具合 原紙"/>
      <sheetName val="ﾄﾞﾛｯﾌﾟﾀﾞｳﾝLIST"/>
      <sheetName val="市場・納入の解析&amp;事例登録書_改_030124"/>
      <sheetName val="Feuil1 (日本語）"/>
      <sheetName val="日産呼称DATA"/>
      <sheetName val="対象部番一覧"/>
      <sheetName val="リスト"/>
      <sheetName val="品質保証責任者届"/>
      <sheetName val="0104～0203販売実績データベース"/>
      <sheetName val="５・本（鍛造）"/>
      <sheetName val="square1"/>
    </sheetNames>
    <definedNames>
      <definedName name="選択_B517"/>
    </definedNames>
    <sheetDataSet>
      <sheetData sheetId="0"/>
      <sheetData sheetId="1" refreshError="1">
        <row r="5">
          <cell r="C5" t="str">
            <v>予防</v>
          </cell>
          <cell r="R5" t="str">
            <v>欠品</v>
          </cell>
          <cell r="V5" t="str">
            <v>設計ﾏﾆｭｱﾙ(要件書含む)</v>
          </cell>
        </row>
        <row r="6">
          <cell r="V6" t="str">
            <v>生技ﾏﾆｭｱﾙ</v>
          </cell>
        </row>
        <row r="7">
          <cell r="V7" t="str">
            <v>市光ｵﾘｼﾞﾅﾙｽﾍﾟｯｸ</v>
          </cell>
        </row>
        <row r="8">
          <cell r="V8" t="str">
            <v>社内運用ﾙｰﾙ・規程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選択_B517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・市場不具合 原紙"/>
      <sheetName val="ﾄﾞﾛｯﾌﾟﾀﾞｳﾝLIST"/>
      <sheetName val="日産呼称DATA"/>
      <sheetName val="Sheet1"/>
      <sheetName val="納入・市場 解析&amp;事例登録書改訂＜原紙＞"/>
      <sheetName val="Feuil1 (日本語）"/>
      <sheetName val="BMC金型材料硬化処理"/>
      <sheetName val="Poland HL"/>
      <sheetName val="A"/>
      <sheetName val="#REF"/>
      <sheetName val="ref"/>
      <sheetName val="条件表"/>
      <sheetName val="①評価項目_メーカー"/>
      <sheetName val="データ"/>
      <sheetName val="ES4"/>
      <sheetName val="Synthesis"/>
      <sheetName val="不良ﾃﾞｰﾀ資料"/>
      <sheetName val="まとめ０２（ＲＬ区分）"/>
      <sheetName val="date"/>
      <sheetName val="計画アイテム"/>
      <sheetName val="Deta"/>
      <sheetName val="#REF!"/>
      <sheetName val="単価表"/>
      <sheetName val="設計通知"/>
      <sheetName val="集計結果"/>
      <sheetName val="0409"/>
      <sheetName val="TKBN_TKBNA"/>
      <sheetName val="Feuil1"/>
      <sheetName val="8D 対策書"/>
      <sheetName val=""/>
      <sheetName val="Master_Administration"/>
      <sheetName val="Weight Break Charges"/>
      <sheetName val="Zones"/>
      <sheetName val="XLR_NoRangeSheet"/>
    </sheetNames>
    <sheetDataSet>
      <sheetData sheetId="0" refreshError="1"/>
      <sheetData sheetId="1" refreshError="1">
        <row r="3">
          <cell r="K3" t="str">
            <v>発生区分
(水入り)</v>
          </cell>
          <cell r="L3" t="str">
            <v>発生区分
(機能)</v>
          </cell>
          <cell r="M3" t="str">
            <v>発生区分
(外観)</v>
          </cell>
          <cell r="N3" t="str">
            <v>発生区分
(組付)</v>
          </cell>
          <cell r="O3" t="str">
            <v>発生区分
(加工)</v>
          </cell>
          <cell r="P3" t="str">
            <v>発生区分
(欠品)</v>
          </cell>
        </row>
        <row r="4">
          <cell r="K4" t="str">
            <v>発生区分
(水入り)</v>
          </cell>
          <cell r="L4" t="str">
            <v>発生区分
(機能)</v>
          </cell>
          <cell r="M4" t="str">
            <v>発生区分
(外観)</v>
          </cell>
          <cell r="N4" t="str">
            <v>発生区分
(組付)</v>
          </cell>
          <cell r="O4" t="str">
            <v>発生区分
(加工)</v>
          </cell>
          <cell r="P4" t="str">
            <v>発生区分
(欠品)</v>
          </cell>
        </row>
        <row r="5">
          <cell r="B5" t="str">
            <v>市 場</v>
          </cell>
          <cell r="C5" t="str">
            <v>●</v>
          </cell>
          <cell r="D5" t="str">
            <v>第1設計部</v>
          </cell>
          <cell r="E5" t="str">
            <v>伊勢原</v>
          </cell>
          <cell r="F5" t="str">
            <v>トヨタ</v>
          </cell>
          <cell r="G5" t="str">
            <v>第1設計部 設計1課</v>
          </cell>
          <cell r="H5" t="str">
            <v>GP/M</v>
          </cell>
          <cell r="I5" t="str">
            <v>ｷｾﾉﾝ(HID)</v>
          </cell>
          <cell r="J5" t="str">
            <v>HM</v>
          </cell>
          <cell r="K5" t="str">
            <v>擬似水入り</v>
          </cell>
          <cell r="L5" t="str">
            <v>ﾊﾞﾙﾌﾞの不灯</v>
          </cell>
          <cell r="M5" t="str">
            <v>ｳｪﾙﾄﾞ</v>
          </cell>
          <cell r="N5" t="str">
            <v>圧入・加締め不良</v>
          </cell>
          <cell r="O5" t="str">
            <v>未加工</v>
          </cell>
          <cell r="P5" t="str">
            <v>欠品</v>
          </cell>
          <cell r="T5" t="str">
            <v>設計ﾏﾆｭｱﾙ(要件書含む)</v>
          </cell>
          <cell r="U5" t="str">
            <v>有</v>
          </cell>
        </row>
        <row r="6">
          <cell r="B6" t="str">
            <v>納 入</v>
          </cell>
          <cell r="D6" t="str">
            <v>第2設計部</v>
          </cell>
          <cell r="E6" t="str">
            <v>ミラー</v>
          </cell>
          <cell r="F6" t="str">
            <v>いすゞ</v>
          </cell>
          <cell r="G6" t="str">
            <v>第1設計部 設計2課</v>
          </cell>
          <cell r="H6" t="str">
            <v>RC/M</v>
          </cell>
          <cell r="I6" t="str">
            <v>ﾊﾛｹﾞﾝ</v>
          </cell>
          <cell r="J6" t="str">
            <v>STP</v>
          </cell>
          <cell r="K6" t="str">
            <v>割れ・破損</v>
          </cell>
          <cell r="L6" t="str">
            <v>ﾊﾞﾙﾌﾞのちらつき</v>
          </cell>
          <cell r="M6" t="str">
            <v>ｷｽﾞ</v>
          </cell>
          <cell r="N6" t="str">
            <v>逆組付</v>
          </cell>
          <cell r="O6" t="str">
            <v>形状不良</v>
          </cell>
          <cell r="P6">
            <v>0</v>
          </cell>
          <cell r="T6" t="str">
            <v>生技ﾏﾆｭｱﾙ</v>
          </cell>
          <cell r="U6" t="str">
            <v>無</v>
          </cell>
        </row>
        <row r="7">
          <cell r="D7" t="str">
            <v>第3設計部</v>
          </cell>
          <cell r="E7" t="str">
            <v>藤岡</v>
          </cell>
          <cell r="F7" t="str">
            <v>産業機械</v>
          </cell>
          <cell r="G7" t="str">
            <v>第1設計部 技企1課</v>
          </cell>
          <cell r="H7" t="str">
            <v>A/T</v>
          </cell>
          <cell r="I7" t="str">
            <v>白熱</v>
          </cell>
          <cell r="J7" t="str">
            <v>HPW</v>
          </cell>
          <cell r="K7" t="str">
            <v>くもり</v>
          </cell>
          <cell r="L7" t="str">
            <v>ｼｮｰﾄ</v>
          </cell>
          <cell r="M7" t="str">
            <v>ｹﾞｰﾄ部の見栄え</v>
          </cell>
          <cell r="N7" t="str">
            <v>異品組付</v>
          </cell>
          <cell r="O7" t="str">
            <v>寸法不良</v>
          </cell>
          <cell r="P7">
            <v>0</v>
          </cell>
          <cell r="T7" t="str">
            <v>市光ｵﾘｼﾞﾅﾙｽﾍﾟｯｸ</v>
          </cell>
        </row>
        <row r="8">
          <cell r="D8" t="str">
            <v>ﾜｲﾊﾟｰ部</v>
          </cell>
          <cell r="E8" t="str">
            <v>大泉</v>
          </cell>
          <cell r="F8" t="str">
            <v>スズキ</v>
          </cell>
          <cell r="G8" t="str">
            <v>第1設計部 光設課</v>
          </cell>
          <cell r="H8" t="str">
            <v>W/P</v>
          </cell>
          <cell r="I8" t="str">
            <v>開放型</v>
          </cell>
          <cell r="J8" t="str">
            <v>VW</v>
          </cell>
          <cell r="K8" t="str">
            <v>ﾗﾝﾌﾟｼｰﾙ不良</v>
          </cell>
          <cell r="L8" t="str">
            <v>脱落・半嵌合</v>
          </cell>
          <cell r="M8" t="str">
            <v>ｺﾞﾐ・ﾌﾞﾂ(塗装・蒸着)</v>
          </cell>
          <cell r="N8" t="str">
            <v>組付位置ｽﾞﾚ</v>
          </cell>
          <cell r="O8">
            <v>0</v>
          </cell>
          <cell r="T8" t="str">
            <v>社内運用ﾙｰﾙ・規程</v>
          </cell>
        </row>
        <row r="9">
          <cell r="E9" t="str">
            <v>中津川</v>
          </cell>
          <cell r="F9" t="str">
            <v>ダイハツ</v>
          </cell>
          <cell r="G9" t="str">
            <v>第2設計部 設計3課</v>
          </cell>
          <cell r="H9" t="str">
            <v>W/A</v>
          </cell>
          <cell r="I9" t="str">
            <v>密閉型</v>
          </cell>
          <cell r="J9" t="str">
            <v>PK</v>
          </cell>
          <cell r="K9" t="str">
            <v>車体ｼｰﾙ不良</v>
          </cell>
          <cell r="L9" t="str">
            <v>操作節度感</v>
          </cell>
          <cell r="M9" t="str">
            <v>ﾋｹ</v>
          </cell>
        </row>
        <row r="10">
          <cell r="E10" t="str">
            <v>ﾜｲﾊﾟｰ部(藤)</v>
          </cell>
          <cell r="F10" t="str">
            <v>日デ</v>
          </cell>
          <cell r="G10" t="str">
            <v>第2設計部 設計4課</v>
          </cell>
          <cell r="H10" t="str">
            <v>W/B</v>
          </cell>
          <cell r="I10" t="str">
            <v>電格</v>
          </cell>
          <cell r="J10">
            <v>0</v>
          </cell>
          <cell r="K10" t="str">
            <v>水廻り</v>
          </cell>
          <cell r="L10" t="str">
            <v>電格作動不良</v>
          </cell>
          <cell r="M10" t="str">
            <v>ﾌﾟﾛﾃｸﾀｰの見栄え</v>
          </cell>
        </row>
        <row r="11">
          <cell r="F11" t="str">
            <v>日産</v>
          </cell>
          <cell r="G11" t="str">
            <v>第2設計部 設計5課</v>
          </cell>
          <cell r="H11" t="str">
            <v>F/G</v>
          </cell>
          <cell r="I11" t="str">
            <v>手格</v>
          </cell>
          <cell r="J11">
            <v>0</v>
          </cell>
          <cell r="K11">
            <v>0</v>
          </cell>
          <cell r="L11" t="str">
            <v>P/U作動不良</v>
          </cell>
          <cell r="M11" t="str">
            <v>異物</v>
          </cell>
        </row>
        <row r="12">
          <cell r="F12" t="str">
            <v>日野</v>
          </cell>
          <cell r="G12" t="str">
            <v>第2設計部 技企2課</v>
          </cell>
          <cell r="H12" t="str">
            <v>GCT</v>
          </cell>
          <cell r="I12" t="str">
            <v>ﾊﾟｰｾﾙ置</v>
          </cell>
          <cell r="J12">
            <v>0</v>
          </cell>
          <cell r="K12">
            <v>0</v>
          </cell>
          <cell r="L12" t="str">
            <v>A/C作動不良</v>
          </cell>
          <cell r="M12" t="str">
            <v>割れ・破損</v>
          </cell>
        </row>
        <row r="13">
          <cell r="F13" t="str">
            <v>富士重</v>
          </cell>
          <cell r="G13" t="str">
            <v>第3設計部 設計6課</v>
          </cell>
          <cell r="H13" t="str">
            <v>S/A</v>
          </cell>
          <cell r="I13" t="str">
            <v>吊下げ</v>
          </cell>
          <cell r="J13">
            <v>0</v>
          </cell>
          <cell r="K13">
            <v>0</v>
          </cell>
          <cell r="L13" t="str">
            <v>異音</v>
          </cell>
          <cell r="M13" t="str">
            <v>虫入り</v>
          </cell>
        </row>
        <row r="14">
          <cell r="F14" t="str">
            <v>本田</v>
          </cell>
          <cell r="G14" t="str">
            <v>第3設計部 技企3課</v>
          </cell>
          <cell r="H14" t="str">
            <v>SH/L</v>
          </cell>
          <cell r="I14" t="str">
            <v>ｽﾎﾟｲﾗｰ</v>
          </cell>
          <cell r="J14">
            <v>0</v>
          </cell>
          <cell r="K14">
            <v>0</v>
          </cell>
          <cell r="L14" t="str">
            <v>ｶﾞﾀ剛性</v>
          </cell>
          <cell r="M14" t="str">
            <v>剥れ(塗装・ﾒｯｷ)</v>
          </cell>
        </row>
        <row r="15">
          <cell r="F15" t="str">
            <v>マツダ</v>
          </cell>
          <cell r="G15" t="str">
            <v>生産技術部 生技企画課</v>
          </cell>
          <cell r="H15" t="str">
            <v>GB/L</v>
          </cell>
          <cell r="I15" t="str">
            <v>外付け</v>
          </cell>
          <cell r="J15">
            <v>0</v>
          </cell>
          <cell r="K15">
            <v>0</v>
          </cell>
          <cell r="L15" t="str">
            <v>ｼﾞｬﾀﾞｰ</v>
          </cell>
          <cell r="M15" t="str">
            <v>溶着ﾊﾞﾘ(HPW・VW)</v>
          </cell>
        </row>
        <row r="16">
          <cell r="F16" t="str">
            <v>三菱</v>
          </cell>
          <cell r="G16" t="str">
            <v>生産技術部 生技1課</v>
          </cell>
          <cell r="H16" t="str">
            <v>PA/L</v>
          </cell>
          <cell r="I16" t="str">
            <v>ｶﾞﾗｽ付</v>
          </cell>
          <cell r="J16">
            <v>0</v>
          </cell>
          <cell r="K16">
            <v>0</v>
          </cell>
          <cell r="L16" t="str">
            <v>ｱｰﾑ押圧</v>
          </cell>
          <cell r="M16" t="str">
            <v>歪み・変形</v>
          </cell>
        </row>
        <row r="17">
          <cell r="F17" t="str">
            <v>ミツバ</v>
          </cell>
          <cell r="G17" t="str">
            <v>生産技術部 生技2課</v>
          </cell>
          <cell r="H17" t="str">
            <v>M/L</v>
          </cell>
          <cell r="I17" t="str">
            <v>間接照明</v>
          </cell>
          <cell r="J17">
            <v>0</v>
          </cell>
          <cell r="K17">
            <v>0</v>
          </cell>
          <cell r="L17" t="str">
            <v>ﾛｯｸﾊﾞｯｸ性能</v>
          </cell>
          <cell r="M17" t="str">
            <v>仕上げ不良</v>
          </cell>
        </row>
        <row r="18">
          <cell r="F18" t="str">
            <v>自電</v>
          </cell>
          <cell r="G18" t="str">
            <v>生産技術部 生技3課</v>
          </cell>
          <cell r="H18" t="str">
            <v>WR/R</v>
          </cell>
          <cell r="I18" t="str">
            <v>引張りﾀｲﾌﾟ</v>
          </cell>
          <cell r="J18">
            <v>0</v>
          </cell>
          <cell r="K18">
            <v>0</v>
          </cell>
          <cell r="L18">
            <v>0</v>
          </cell>
          <cell r="M18" t="str">
            <v>色</v>
          </cell>
        </row>
        <row r="19">
          <cell r="F19" t="str">
            <v>日車</v>
          </cell>
          <cell r="G19" t="str">
            <v>生産技術部 工機管理課</v>
          </cell>
          <cell r="H19" t="str">
            <v>DNT</v>
          </cell>
          <cell r="I19" t="str">
            <v>圧縮ﾀｲﾌﾟ</v>
          </cell>
          <cell r="J19">
            <v>0</v>
          </cell>
          <cell r="K19">
            <v>0</v>
          </cell>
          <cell r="L19">
            <v>0</v>
          </cell>
          <cell r="M19" t="str">
            <v>錆(ｻﾋﾞ)</v>
          </cell>
        </row>
        <row r="20">
          <cell r="F20" t="str">
            <v>他</v>
          </cell>
          <cell r="G20" t="str">
            <v>生産技術部 工機技術課</v>
          </cell>
          <cell r="H20" t="str">
            <v>SI/L</v>
          </cell>
        </row>
        <row r="21">
          <cell r="G21" t="str">
            <v>生産技術部 工機製作課</v>
          </cell>
          <cell r="H21" t="str">
            <v>R/G</v>
          </cell>
        </row>
        <row r="22">
          <cell r="G22" t="str">
            <v>生産技術部 工機調達課</v>
          </cell>
          <cell r="H22" t="str">
            <v>D/M</v>
          </cell>
        </row>
        <row r="23">
          <cell r="G23" t="str">
            <v>生産技術部 試作課</v>
          </cell>
          <cell r="H23" t="str">
            <v>R/MK</v>
          </cell>
        </row>
        <row r="24">
          <cell r="G24" t="str">
            <v>伊勢原製造所 品質課</v>
          </cell>
          <cell r="H24" t="str">
            <v>PER/L</v>
          </cell>
        </row>
        <row r="25">
          <cell r="G25" t="str">
            <v>大泉製造所 品質課</v>
          </cell>
          <cell r="H25" t="str">
            <v>SID/L</v>
          </cell>
        </row>
        <row r="26">
          <cell r="G26" t="str">
            <v>藤岡製造所 品質課</v>
          </cell>
          <cell r="H26" t="str">
            <v>CORN/L</v>
          </cell>
        </row>
        <row r="27">
          <cell r="G27" t="str">
            <v>中津川製造所 品質課</v>
          </cell>
          <cell r="H27" t="str">
            <v>DR/L</v>
          </cell>
        </row>
        <row r="28">
          <cell r="G28" t="str">
            <v>ミラー製造所 品質課</v>
          </cell>
          <cell r="H28" t="str">
            <v>PH/L</v>
          </cell>
        </row>
        <row r="29">
          <cell r="G29" t="str">
            <v>品質保証部 品証1課</v>
          </cell>
          <cell r="H29" t="str">
            <v>PF/L</v>
          </cell>
        </row>
        <row r="30">
          <cell r="G30" t="str">
            <v>品質保証部 品証2課</v>
          </cell>
          <cell r="H30" t="str">
            <v>RU/M</v>
          </cell>
        </row>
        <row r="31">
          <cell r="G31" t="str">
            <v>品質保証部 品証3課</v>
          </cell>
          <cell r="H31" t="str">
            <v>BE/M</v>
          </cell>
        </row>
        <row r="32">
          <cell r="G32" t="str">
            <v>品質保証部 品管課</v>
          </cell>
          <cell r="H32" t="str">
            <v>RF/L</v>
          </cell>
        </row>
        <row r="33">
          <cell r="G33" t="str">
            <v>ﾜｲﾊﾟｰ部 設計G</v>
          </cell>
          <cell r="H33" t="str">
            <v>C/L</v>
          </cell>
        </row>
        <row r="34">
          <cell r="G34" t="str">
            <v>ﾜｲﾊﾟｰ部 品質G</v>
          </cell>
          <cell r="H34" t="str">
            <v>H/L</v>
          </cell>
        </row>
        <row r="35">
          <cell r="H35" t="str">
            <v>F/L</v>
          </cell>
        </row>
        <row r="36">
          <cell r="H36" t="str">
            <v>FTR/L</v>
          </cell>
        </row>
        <row r="37">
          <cell r="H37" t="str">
            <v>P/L</v>
          </cell>
        </row>
        <row r="38">
          <cell r="H38" t="str">
            <v>CL/L</v>
          </cell>
        </row>
        <row r="39">
          <cell r="H39" t="str">
            <v>FC/L</v>
          </cell>
        </row>
        <row r="40">
          <cell r="H40" t="str">
            <v>STR/L</v>
          </cell>
        </row>
        <row r="41">
          <cell r="H41" t="str">
            <v>SF/L</v>
          </cell>
        </row>
        <row r="42">
          <cell r="H42" t="str">
            <v>SM/L</v>
          </cell>
        </row>
        <row r="43">
          <cell r="H43" t="str">
            <v>SC/L</v>
          </cell>
        </row>
        <row r="44">
          <cell r="H44" t="str">
            <v>L/L</v>
          </cell>
        </row>
        <row r="45">
          <cell r="H45" t="str">
            <v>RTR/L</v>
          </cell>
        </row>
        <row r="46">
          <cell r="H46" t="str">
            <v>B/L</v>
          </cell>
        </row>
        <row r="47">
          <cell r="H47" t="str">
            <v>S/L</v>
          </cell>
        </row>
        <row r="48">
          <cell r="H48" t="str">
            <v>T/L</v>
          </cell>
        </row>
        <row r="49">
          <cell r="H49" t="str">
            <v>RC/L</v>
          </cell>
        </row>
        <row r="50">
          <cell r="H50" t="str">
            <v>R/L</v>
          </cell>
        </row>
        <row r="51">
          <cell r="H51" t="str">
            <v>ID/L</v>
          </cell>
        </row>
        <row r="52">
          <cell r="H52" t="str">
            <v>SP/L</v>
          </cell>
        </row>
        <row r="53">
          <cell r="H53" t="str">
            <v>ER/L</v>
          </cell>
        </row>
        <row r="54">
          <cell r="H54" t="str">
            <v>TKR/L</v>
          </cell>
        </row>
        <row r="55">
          <cell r="H55" t="str">
            <v>STP/L</v>
          </cell>
        </row>
        <row r="56">
          <cell r="H56" t="str">
            <v>IF/L</v>
          </cell>
        </row>
        <row r="57">
          <cell r="H57" t="str">
            <v>MP/L</v>
          </cell>
        </row>
        <row r="58">
          <cell r="H58" t="str">
            <v>RE/L</v>
          </cell>
        </row>
        <row r="59">
          <cell r="H59" t="str">
            <v>I/L</v>
          </cell>
        </row>
        <row r="60">
          <cell r="H60" t="str">
            <v>R/R</v>
          </cell>
        </row>
        <row r="61">
          <cell r="H61" t="str">
            <v>FD/L</v>
          </cell>
        </row>
        <row r="62">
          <cell r="H62" t="str">
            <v>FR/L</v>
          </cell>
        </row>
        <row r="63">
          <cell r="H63" t="str">
            <v>SIN/L</v>
          </cell>
        </row>
        <row r="64">
          <cell r="H64" t="str">
            <v>L/C</v>
          </cell>
        </row>
        <row r="65">
          <cell r="H65" t="str">
            <v>HMS/L</v>
          </cell>
        </row>
        <row r="66">
          <cell r="H66" t="str">
            <v>O/M</v>
          </cell>
        </row>
        <row r="67">
          <cell r="H67" t="str">
            <v>I/M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ﾐ)計画書"/>
      <sheetName val="不良分析 "/>
      <sheetName val="ﾃﾞｰﾀｰ"/>
      <sheetName val="ﾐﾗｰ改善計画書(第2回)"/>
      <sheetName val="ﾄﾞﾛｯﾌﾟﾀﾞｳﾝLIST"/>
    </sheetNames>
    <definedNames>
      <definedName name="Record3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YOTA2"/>
    </sheetNames>
    <definedNames>
      <definedName name="Record3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日産均等"/>
      <sheetName val="Book5"/>
      <sheetName val="ﾄﾞﾛｯﾌﾟﾀﾞｳﾝLIST"/>
      <sheetName val="#REF!"/>
      <sheetName val="外注納不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得意先"/>
      <sheetName val="均等払い合計"/>
      <sheetName val="日産均等"/>
      <sheetName val="富士重均等"/>
      <sheetName val="トヨタ均等"/>
      <sheetName val="日デ均等"/>
      <sheetName val="いすゞ均等"/>
      <sheetName val="本田均等"/>
      <sheetName val="日野均等"/>
      <sheetName val="スズキ均等"/>
      <sheetName val="不良ﾃﾞｰﾀ資料"/>
      <sheetName val="外注納不"/>
      <sheetName val="ﾄﾞﾛｯﾌﾟﾀﾞｳﾝLIST"/>
      <sheetName val="Sheet1"/>
      <sheetName val="2001下期型均等まとめ"/>
      <sheetName val="データ"/>
      <sheetName val="納入総括"/>
      <sheetName val="リスト"/>
      <sheetName val="Poland HL"/>
      <sheetName val="リストデータ"/>
      <sheetName val="Feuil1 (日本語）"/>
      <sheetName val="moto"/>
      <sheetName val="Europe PU-1"/>
      <sheetName val="MatRatioCalcul"/>
      <sheetName val="計画アイテム"/>
      <sheetName val="コントロール"/>
      <sheetName val="ﾊﾟｲﾌﾟ"/>
      <sheetName val="他材料費"/>
      <sheetName val="冷延鋼板"/>
      <sheetName val="熱延鋼板"/>
      <sheetName val="MPL 技連"/>
      <sheetName val="342E BLOCK"/>
    </sheetNames>
    <sheetDataSet>
      <sheetData sheetId="0"/>
      <sheetData sheetId="1"/>
      <sheetData sheetId="2" refreshError="1"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>
            <v>36</v>
          </cell>
          <cell r="H11">
            <v>42</v>
          </cell>
          <cell r="I11">
            <v>42</v>
          </cell>
          <cell r="J11">
            <v>41</v>
          </cell>
          <cell r="K11">
            <v>86</v>
          </cell>
          <cell r="L11">
            <v>247</v>
          </cell>
          <cell r="M11">
            <v>247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E16">
            <v>0</v>
          </cell>
          <cell r="F16">
            <v>0</v>
          </cell>
          <cell r="G16">
            <v>36</v>
          </cell>
          <cell r="H16">
            <v>42</v>
          </cell>
          <cell r="I16">
            <v>42</v>
          </cell>
          <cell r="J16">
            <v>41</v>
          </cell>
          <cell r="K16">
            <v>86</v>
          </cell>
          <cell r="L16">
            <v>247</v>
          </cell>
          <cell r="M16">
            <v>247</v>
          </cell>
        </row>
        <row r="17">
          <cell r="G17">
            <v>13</v>
          </cell>
          <cell r="H17">
            <v>9</v>
          </cell>
          <cell r="I17">
            <v>8</v>
          </cell>
          <cell r="J17">
            <v>8</v>
          </cell>
          <cell r="K17">
            <v>16</v>
          </cell>
          <cell r="L17">
            <v>54</v>
          </cell>
          <cell r="M17">
            <v>54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>
            <v>15</v>
          </cell>
          <cell r="H19">
            <v>12</v>
          </cell>
          <cell r="I19">
            <v>12</v>
          </cell>
          <cell r="J19">
            <v>12</v>
          </cell>
          <cell r="K19">
            <v>26</v>
          </cell>
          <cell r="L19">
            <v>77</v>
          </cell>
          <cell r="M19">
            <v>77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E21">
            <v>0</v>
          </cell>
          <cell r="F21">
            <v>0</v>
          </cell>
          <cell r="G21">
            <v>28</v>
          </cell>
          <cell r="H21">
            <v>21</v>
          </cell>
          <cell r="I21">
            <v>20</v>
          </cell>
          <cell r="J21">
            <v>20</v>
          </cell>
          <cell r="K21">
            <v>42</v>
          </cell>
          <cell r="L21">
            <v>131</v>
          </cell>
          <cell r="M21">
            <v>131</v>
          </cell>
        </row>
        <row r="22">
          <cell r="G22">
            <v>57</v>
          </cell>
          <cell r="H22">
            <v>51</v>
          </cell>
          <cell r="I22">
            <v>51</v>
          </cell>
          <cell r="J22">
            <v>51</v>
          </cell>
          <cell r="K22">
            <v>102</v>
          </cell>
          <cell r="L22">
            <v>312</v>
          </cell>
          <cell r="M22">
            <v>312</v>
          </cell>
        </row>
        <row r="23">
          <cell r="G23">
            <v>16</v>
          </cell>
          <cell r="H23">
            <v>15</v>
          </cell>
          <cell r="I23">
            <v>15</v>
          </cell>
          <cell r="J23">
            <v>15</v>
          </cell>
          <cell r="K23">
            <v>24</v>
          </cell>
          <cell r="L23">
            <v>85</v>
          </cell>
          <cell r="M23">
            <v>85</v>
          </cell>
        </row>
        <row r="24"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0</v>
          </cell>
          <cell r="L24">
            <v>8</v>
          </cell>
          <cell r="M24">
            <v>8</v>
          </cell>
        </row>
        <row r="25"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0</v>
          </cell>
          <cell r="L25">
            <v>4</v>
          </cell>
          <cell r="M25">
            <v>4</v>
          </cell>
        </row>
        <row r="26">
          <cell r="E26">
            <v>0</v>
          </cell>
          <cell r="F26">
            <v>0</v>
          </cell>
          <cell r="G26">
            <v>76</v>
          </cell>
          <cell r="H26">
            <v>69</v>
          </cell>
          <cell r="I26">
            <v>69</v>
          </cell>
          <cell r="J26">
            <v>69</v>
          </cell>
          <cell r="K26">
            <v>126</v>
          </cell>
          <cell r="L26">
            <v>409</v>
          </cell>
          <cell r="M26">
            <v>409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G32">
            <v>20</v>
          </cell>
          <cell r="H32">
            <v>19</v>
          </cell>
          <cell r="I32">
            <v>18</v>
          </cell>
          <cell r="J32">
            <v>19</v>
          </cell>
          <cell r="K32">
            <v>38</v>
          </cell>
          <cell r="L32">
            <v>114</v>
          </cell>
          <cell r="M32">
            <v>114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E35">
            <v>0</v>
          </cell>
          <cell r="F35">
            <v>0</v>
          </cell>
          <cell r="G35">
            <v>20</v>
          </cell>
          <cell r="H35">
            <v>19</v>
          </cell>
          <cell r="I35">
            <v>18</v>
          </cell>
          <cell r="J35">
            <v>19</v>
          </cell>
          <cell r="K35">
            <v>38</v>
          </cell>
          <cell r="L35">
            <v>114</v>
          </cell>
          <cell r="M35">
            <v>114</v>
          </cell>
        </row>
        <row r="36"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4</v>
          </cell>
          <cell r="M36">
            <v>4</v>
          </cell>
        </row>
        <row r="37">
          <cell r="E37">
            <v>0</v>
          </cell>
          <cell r="F37">
            <v>0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0</v>
          </cell>
          <cell r="L37">
            <v>4</v>
          </cell>
          <cell r="M37">
            <v>4</v>
          </cell>
        </row>
        <row r="38">
          <cell r="E38">
            <v>0</v>
          </cell>
          <cell r="F38">
            <v>0</v>
          </cell>
          <cell r="G38">
            <v>161</v>
          </cell>
          <cell r="H38">
            <v>152</v>
          </cell>
          <cell r="I38">
            <v>150</v>
          </cell>
          <cell r="J38">
            <v>150</v>
          </cell>
          <cell r="K38">
            <v>292</v>
          </cell>
          <cell r="L38">
            <v>905</v>
          </cell>
          <cell r="M38">
            <v>905</v>
          </cell>
        </row>
        <row r="39">
          <cell r="L39">
            <v>0</v>
          </cell>
          <cell r="M39">
            <v>0</v>
          </cell>
        </row>
        <row r="40">
          <cell r="L40">
            <v>0</v>
          </cell>
          <cell r="M40">
            <v>0</v>
          </cell>
        </row>
        <row r="41">
          <cell r="L41">
            <v>0</v>
          </cell>
          <cell r="M41">
            <v>0</v>
          </cell>
        </row>
        <row r="42">
          <cell r="E42">
            <v>0</v>
          </cell>
          <cell r="F42">
            <v>0</v>
          </cell>
          <cell r="G42">
            <v>161</v>
          </cell>
          <cell r="H42">
            <v>152</v>
          </cell>
          <cell r="I42">
            <v>150</v>
          </cell>
          <cell r="J42">
            <v>150</v>
          </cell>
          <cell r="K42">
            <v>292</v>
          </cell>
          <cell r="L42">
            <v>905</v>
          </cell>
          <cell r="M42">
            <v>905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el"/>
      <sheetName val="Hyp"/>
      <sheetName val="ﾊﾟｲﾌﾟ"/>
      <sheetName val="他材料費"/>
      <sheetName val="冷延鋼板"/>
      <sheetName val="熱延鋼板"/>
      <sheetName val="日産均等"/>
      <sheetName val="F-BP"/>
    </sheetNames>
    <sheetDataSet>
      <sheetData sheetId="0">
        <row r="8">
          <cell r="B8" t="str">
            <v>DAIHATSU</v>
          </cell>
        </row>
      </sheetData>
      <sheetData sheetId="1">
        <row r="27">
          <cell r="C27" t="str">
            <v>JPY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設計業務"/>
      <sheetName val="入力表 (2)"/>
      <sheetName val="入力表 (3)"/>
      <sheetName val="入力表 (4)"/>
      <sheetName val="ﾊﾟｲﾌﾟ"/>
      <sheetName val="他材料費"/>
      <sheetName val="冷延鋼板"/>
      <sheetName val="熱延鋼板"/>
      <sheetName val="set date"/>
    </sheetNames>
    <sheetDataSet>
      <sheetData sheetId="0"/>
      <sheetData sheetId="1"/>
      <sheetData sheetId="2"/>
      <sheetData sheetId="3"/>
      <sheetData sheetId="4">
        <row r="7">
          <cell r="K7" t="str">
            <v>研究開発</v>
          </cell>
        </row>
        <row r="8">
          <cell r="K8" t="str">
            <v>企画</v>
          </cell>
        </row>
        <row r="9">
          <cell r="K9" t="str">
            <v>RFQ対応</v>
          </cell>
        </row>
        <row r="10">
          <cell r="K10" t="str">
            <v>得意先派遣</v>
          </cell>
        </row>
        <row r="11">
          <cell r="K11" t="str">
            <v>製品設計</v>
          </cell>
        </row>
        <row r="12">
          <cell r="K12" t="str">
            <v>得意先設変</v>
          </cell>
        </row>
        <row r="13">
          <cell r="K13" t="str">
            <v>社内設変</v>
          </cell>
        </row>
        <row r="14">
          <cell r="K14" t="str">
            <v>量産品設変</v>
          </cell>
        </row>
        <row r="15">
          <cell r="K15" t="str">
            <v>N_BPS構築</v>
          </cell>
        </row>
        <row r="16">
          <cell r="K16" t="str">
            <v>市場クレーム対応</v>
          </cell>
        </row>
        <row r="17">
          <cell r="K17" t="str">
            <v>教育・講習会</v>
          </cell>
        </row>
        <row r="18">
          <cell r="K18" t="str">
            <v>朝礼</v>
          </cell>
        </row>
        <row r="19">
          <cell r="K19" t="str">
            <v>回覧・メールチェック</v>
          </cell>
        </row>
        <row r="20">
          <cell r="K20" t="str">
            <v>休暇・選択・変動</v>
          </cell>
        </row>
        <row r="21">
          <cell r="K21" t="str">
            <v>組合・文体</v>
          </cell>
        </row>
        <row r="22">
          <cell r="K22" t="str">
            <v>_４Ｓ</v>
          </cell>
        </row>
        <row r="23">
          <cell r="K23" t="str">
            <v>その他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ﾄﾞﾛｯﾌﾟﾀﾞｳﾝLIST (2)"/>
      <sheetName val="洩れ"/>
      <sheetName val="設計業務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３指目標"/>
      <sheetName val="納不一覧"/>
      <sheetName val="部門長会議資料"/>
      <sheetName val="納入不良(A)"/>
      <sheetName val="工程不良(B)"/>
      <sheetName val="納不実績"/>
      <sheetName val="外注納不"/>
      <sheetName val="実施計画展開"/>
      <sheetName val="実施計画管理"/>
      <sheetName val="納入総括"/>
      <sheetName val="不良ﾃﾞｰﾀ資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36">
          <cell r="AB36" t="str">
            <v>金型不良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総括"/>
      <sheetName val="印刷データ"/>
      <sheetName val="日産呼称DATA"/>
      <sheetName val="対象部番一覧"/>
      <sheetName val="不良ﾃﾞｰﾀ資料"/>
      <sheetName val="納入X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呼称DATA"/>
      <sheetName val="対象部番一覧"/>
      <sheetName val="Titel"/>
      <sheetName val="Hyp"/>
    </sheetNames>
    <sheetDataSet>
      <sheetData sheetId="0" refreshError="1">
        <row r="5">
          <cell r="O5" t="str">
            <v>97-04</v>
          </cell>
          <cell r="P5" t="str">
            <v>97/上</v>
          </cell>
          <cell r="R5" t="str">
            <v>A</v>
          </cell>
          <cell r="S5" t="str">
            <v>人</v>
          </cell>
        </row>
        <row r="6">
          <cell r="O6" t="str">
            <v>97-05</v>
          </cell>
          <cell r="P6" t="str">
            <v>97/上</v>
          </cell>
          <cell r="R6" t="str">
            <v>A 1</v>
          </cell>
          <cell r="S6" t="str">
            <v>標準不遵守</v>
          </cell>
        </row>
        <row r="7">
          <cell r="O7" t="str">
            <v>97-06</v>
          </cell>
          <cell r="P7" t="str">
            <v>97/上</v>
          </cell>
          <cell r="R7" t="str">
            <v>A 2</v>
          </cell>
          <cell r="S7" t="str">
            <v>不慣れ</v>
          </cell>
        </row>
        <row r="8">
          <cell r="O8" t="str">
            <v>97-07</v>
          </cell>
          <cell r="P8" t="str">
            <v>97/上</v>
          </cell>
          <cell r="R8" t="str">
            <v>A 3</v>
          </cell>
          <cell r="S8" t="str">
            <v>応援者</v>
          </cell>
        </row>
        <row r="9">
          <cell r="O9" t="str">
            <v>97-08</v>
          </cell>
          <cell r="P9" t="str">
            <v>97/上</v>
          </cell>
          <cell r="R9" t="str">
            <v>A 4</v>
          </cell>
          <cell r="S9" t="str">
            <v>ポカミス</v>
          </cell>
        </row>
        <row r="10">
          <cell r="O10" t="str">
            <v>97-09</v>
          </cell>
          <cell r="P10" t="str">
            <v>97/上</v>
          </cell>
          <cell r="R10" t="str">
            <v>A 5</v>
          </cell>
          <cell r="S10" t="str">
            <v>標準無し</v>
          </cell>
        </row>
        <row r="11">
          <cell r="O11" t="str">
            <v>97-10</v>
          </cell>
          <cell r="P11" t="str">
            <v>97/下</v>
          </cell>
          <cell r="R11" t="str">
            <v>A 6</v>
          </cell>
          <cell r="S11" t="str">
            <v>他（人）</v>
          </cell>
        </row>
        <row r="12">
          <cell r="O12" t="str">
            <v>97-11</v>
          </cell>
          <cell r="P12" t="str">
            <v>97/下</v>
          </cell>
          <cell r="R12" t="str">
            <v>B</v>
          </cell>
          <cell r="S12" t="str">
            <v>物</v>
          </cell>
        </row>
        <row r="13">
          <cell r="O13" t="str">
            <v>97-12</v>
          </cell>
          <cell r="P13" t="str">
            <v>97/下</v>
          </cell>
          <cell r="R13" t="str">
            <v>B 1</v>
          </cell>
          <cell r="S13" t="str">
            <v>金型不良</v>
          </cell>
        </row>
        <row r="14">
          <cell r="O14" t="str">
            <v>98-01</v>
          </cell>
          <cell r="P14" t="str">
            <v>97/下</v>
          </cell>
          <cell r="R14" t="str">
            <v>B 2</v>
          </cell>
          <cell r="S14" t="str">
            <v>加工不良</v>
          </cell>
        </row>
        <row r="15">
          <cell r="O15" t="str">
            <v>98-02</v>
          </cell>
          <cell r="P15" t="str">
            <v>97/下</v>
          </cell>
          <cell r="R15" t="str">
            <v>B 3</v>
          </cell>
          <cell r="S15" t="str">
            <v>磨耗</v>
          </cell>
        </row>
        <row r="16">
          <cell r="O16" t="str">
            <v>98-03</v>
          </cell>
          <cell r="P16" t="str">
            <v>97/下</v>
          </cell>
          <cell r="R16" t="str">
            <v>B 4</v>
          </cell>
          <cell r="S16" t="str">
            <v>材質不良</v>
          </cell>
        </row>
        <row r="17">
          <cell r="O17" t="str">
            <v>98-04</v>
          </cell>
          <cell r="P17" t="str">
            <v>98/上</v>
          </cell>
          <cell r="R17" t="str">
            <v>B 5</v>
          </cell>
          <cell r="S17" t="str">
            <v>取扱い</v>
          </cell>
        </row>
        <row r="18">
          <cell r="O18" t="str">
            <v>98-05</v>
          </cell>
          <cell r="P18" t="str">
            <v>98/上</v>
          </cell>
          <cell r="R18" t="str">
            <v>B 6</v>
          </cell>
          <cell r="S18" t="str">
            <v>他（物）</v>
          </cell>
        </row>
        <row r="19">
          <cell r="O19" t="str">
            <v>98-06</v>
          </cell>
          <cell r="P19" t="str">
            <v>98/上</v>
          </cell>
          <cell r="R19" t="str">
            <v>C</v>
          </cell>
          <cell r="S19" t="str">
            <v>機械</v>
          </cell>
        </row>
        <row r="20">
          <cell r="O20" t="str">
            <v>98-07</v>
          </cell>
          <cell r="P20" t="str">
            <v>98/上</v>
          </cell>
          <cell r="R20" t="str">
            <v>C 1</v>
          </cell>
          <cell r="S20" t="str">
            <v>誤作動</v>
          </cell>
        </row>
        <row r="21">
          <cell r="O21" t="str">
            <v>98-08</v>
          </cell>
          <cell r="P21" t="str">
            <v>98/上</v>
          </cell>
          <cell r="R21" t="str">
            <v>C 2</v>
          </cell>
          <cell r="S21" t="str">
            <v>精度不良</v>
          </cell>
        </row>
        <row r="22">
          <cell r="O22" t="str">
            <v>98-09</v>
          </cell>
          <cell r="P22" t="str">
            <v>98/上</v>
          </cell>
          <cell r="R22" t="str">
            <v>C 3</v>
          </cell>
          <cell r="S22" t="str">
            <v>磨耗</v>
          </cell>
        </row>
        <row r="23">
          <cell r="O23" t="str">
            <v>98-10</v>
          </cell>
          <cell r="P23" t="str">
            <v>98/下</v>
          </cell>
          <cell r="R23" t="str">
            <v>C 4</v>
          </cell>
          <cell r="S23" t="str">
            <v>保守・点検</v>
          </cell>
        </row>
        <row r="24">
          <cell r="O24" t="str">
            <v>98-11</v>
          </cell>
          <cell r="P24" t="str">
            <v>98/下</v>
          </cell>
          <cell r="R24" t="str">
            <v>C 5</v>
          </cell>
          <cell r="S24" t="str">
            <v>他（機械）</v>
          </cell>
        </row>
        <row r="25">
          <cell r="O25" t="str">
            <v>98-12</v>
          </cell>
          <cell r="P25" t="str">
            <v>98/下</v>
          </cell>
          <cell r="R25" t="str">
            <v>D</v>
          </cell>
          <cell r="S25" t="str">
            <v>方法</v>
          </cell>
        </row>
        <row r="26">
          <cell r="O26" t="str">
            <v>99-01</v>
          </cell>
          <cell r="P26" t="str">
            <v>98/下</v>
          </cell>
          <cell r="R26" t="str">
            <v>D 1</v>
          </cell>
          <cell r="S26" t="str">
            <v>条件設定</v>
          </cell>
        </row>
        <row r="27">
          <cell r="O27" t="str">
            <v>99-02</v>
          </cell>
          <cell r="P27" t="str">
            <v>98/下</v>
          </cell>
          <cell r="R27" t="str">
            <v>D 2</v>
          </cell>
          <cell r="S27" t="str">
            <v>条件管理</v>
          </cell>
        </row>
        <row r="28">
          <cell r="O28" t="str">
            <v>99-03</v>
          </cell>
          <cell r="P28" t="str">
            <v>98/下</v>
          </cell>
          <cell r="R28" t="str">
            <v>D 3</v>
          </cell>
          <cell r="S28" t="str">
            <v>ダンゴ生産</v>
          </cell>
        </row>
        <row r="29">
          <cell r="O29" t="str">
            <v>99-04</v>
          </cell>
          <cell r="P29" t="str">
            <v>99/上</v>
          </cell>
          <cell r="R29" t="str">
            <v>D 4</v>
          </cell>
          <cell r="S29" t="str">
            <v>標準無し</v>
          </cell>
        </row>
        <row r="30">
          <cell r="O30" t="str">
            <v>99-05</v>
          </cell>
          <cell r="P30" t="str">
            <v>99/上</v>
          </cell>
          <cell r="R30" t="str">
            <v>D 5</v>
          </cell>
          <cell r="S30" t="str">
            <v>標準悪い</v>
          </cell>
        </row>
        <row r="31">
          <cell r="O31" t="str">
            <v>99-06</v>
          </cell>
          <cell r="P31" t="str">
            <v>99/上</v>
          </cell>
          <cell r="R31" t="str">
            <v>D 6</v>
          </cell>
          <cell r="S31" t="str">
            <v>仕組み</v>
          </cell>
        </row>
        <row r="32">
          <cell r="O32" t="str">
            <v>99-07</v>
          </cell>
          <cell r="P32" t="str">
            <v>99/上</v>
          </cell>
          <cell r="R32" t="str">
            <v>D 7</v>
          </cell>
          <cell r="S32" t="str">
            <v>他（方法）</v>
          </cell>
        </row>
        <row r="33">
          <cell r="O33" t="str">
            <v>99-08</v>
          </cell>
          <cell r="P33" t="str">
            <v>99/上</v>
          </cell>
          <cell r="R33" t="str">
            <v>E</v>
          </cell>
          <cell r="S33" t="str">
            <v>その他</v>
          </cell>
        </row>
        <row r="34">
          <cell r="O34" t="str">
            <v>99-09</v>
          </cell>
          <cell r="P34" t="str">
            <v>99/上</v>
          </cell>
          <cell r="R34" t="str">
            <v>E 1</v>
          </cell>
          <cell r="S34" t="str">
            <v>荷姿</v>
          </cell>
        </row>
        <row r="35">
          <cell r="O35" t="str">
            <v>99-10</v>
          </cell>
          <cell r="P35" t="str">
            <v>99/下</v>
          </cell>
          <cell r="R35" t="str">
            <v>E 2</v>
          </cell>
          <cell r="S35" t="str">
            <v>図面ミス</v>
          </cell>
        </row>
        <row r="36">
          <cell r="O36" t="str">
            <v>99-11</v>
          </cell>
          <cell r="P36" t="str">
            <v>99/下</v>
          </cell>
          <cell r="R36" t="str">
            <v>E 3</v>
          </cell>
          <cell r="S36" t="str">
            <v>手続きミス</v>
          </cell>
        </row>
        <row r="37">
          <cell r="O37" t="str">
            <v>99-12</v>
          </cell>
          <cell r="P37" t="str">
            <v>99/下</v>
          </cell>
          <cell r="R37" t="str">
            <v>E 4</v>
          </cell>
          <cell r="S37" t="str">
            <v>入・出庫ミス</v>
          </cell>
        </row>
        <row r="38">
          <cell r="O38" t="str">
            <v>00-01</v>
          </cell>
          <cell r="P38" t="str">
            <v>99/下</v>
          </cell>
          <cell r="R38" t="str">
            <v>E 5</v>
          </cell>
          <cell r="S38" t="str">
            <v>判断ミス</v>
          </cell>
        </row>
        <row r="39">
          <cell r="O39" t="str">
            <v>00-02</v>
          </cell>
          <cell r="P39" t="str">
            <v>99/下</v>
          </cell>
          <cell r="R39" t="str">
            <v>E 6</v>
          </cell>
          <cell r="S39" t="str">
            <v>得意先</v>
          </cell>
        </row>
        <row r="40">
          <cell r="O40" t="str">
            <v>00-03</v>
          </cell>
          <cell r="P40" t="str">
            <v>99/下</v>
          </cell>
          <cell r="R40" t="str">
            <v>E 7</v>
          </cell>
          <cell r="S40" t="str">
            <v>不明</v>
          </cell>
        </row>
        <row r="41">
          <cell r="R41" t="str">
            <v>E 8</v>
          </cell>
          <cell r="S41" t="str">
            <v>その他</v>
          </cell>
        </row>
      </sheetData>
      <sheetData sheetId="1" refreshError="1">
        <row r="1">
          <cell r="C1" t="str">
            <v>得意先部番</v>
          </cell>
          <cell r="D1" t="str">
            <v>発理</v>
          </cell>
          <cell r="E1" t="str">
            <v>例外</v>
          </cell>
          <cell r="F1" t="str">
            <v>種別</v>
          </cell>
          <cell r="G1" t="str">
            <v>品名</v>
          </cell>
          <cell r="H1" t="str">
            <v>品種</v>
          </cell>
          <cell r="I1" t="str">
            <v>月産数</v>
          </cell>
        </row>
        <row r="2">
          <cell r="C2" t="str">
            <v>26010AA000</v>
          </cell>
          <cell r="D2">
            <v>1</v>
          </cell>
          <cell r="E2">
            <v>0</v>
          </cell>
          <cell r="F2">
            <v>151</v>
          </cell>
          <cell r="G2" t="str">
            <v>H/L</v>
          </cell>
          <cell r="H2" t="str">
            <v>A310</v>
          </cell>
          <cell r="I2">
            <v>800</v>
          </cell>
        </row>
        <row r="3">
          <cell r="C3" t="str">
            <v>26010AA100</v>
          </cell>
          <cell r="D3">
            <v>1</v>
          </cell>
          <cell r="E3">
            <v>0</v>
          </cell>
          <cell r="F3">
            <v>151</v>
          </cell>
          <cell r="G3" t="str">
            <v>H/L</v>
          </cell>
          <cell r="H3" t="str">
            <v>A400</v>
          </cell>
          <cell r="I3">
            <v>3300</v>
          </cell>
        </row>
        <row r="4">
          <cell r="C4" t="str">
            <v>26010AA300</v>
          </cell>
          <cell r="D4">
            <v>2</v>
          </cell>
          <cell r="E4">
            <v>0</v>
          </cell>
          <cell r="F4">
            <v>151</v>
          </cell>
          <cell r="G4" t="str">
            <v>H/L</v>
          </cell>
          <cell r="H4" t="str">
            <v>B000</v>
          </cell>
          <cell r="I4">
            <v>150</v>
          </cell>
        </row>
        <row r="5">
          <cell r="C5" t="str">
            <v>26060AA000</v>
          </cell>
          <cell r="D5">
            <v>1</v>
          </cell>
          <cell r="E5">
            <v>0</v>
          </cell>
          <cell r="F5">
            <v>151</v>
          </cell>
          <cell r="G5" t="str">
            <v>H/L</v>
          </cell>
          <cell r="H5" t="str">
            <v>A310</v>
          </cell>
          <cell r="I5">
            <v>800</v>
          </cell>
        </row>
        <row r="6">
          <cell r="C6" t="str">
            <v>26060AA100</v>
          </cell>
          <cell r="D6">
            <v>1</v>
          </cell>
          <cell r="E6">
            <v>0</v>
          </cell>
          <cell r="F6">
            <v>151</v>
          </cell>
          <cell r="G6" t="str">
            <v>H/L</v>
          </cell>
          <cell r="H6" t="str">
            <v>A400</v>
          </cell>
          <cell r="I6">
            <v>3300</v>
          </cell>
        </row>
        <row r="7">
          <cell r="C7" t="str">
            <v>26060AA300</v>
          </cell>
          <cell r="D7">
            <v>2</v>
          </cell>
          <cell r="E7">
            <v>0</v>
          </cell>
          <cell r="F7">
            <v>151</v>
          </cell>
          <cell r="G7" t="str">
            <v>H/L</v>
          </cell>
          <cell r="H7" t="str">
            <v>B000</v>
          </cell>
          <cell r="I7">
            <v>150</v>
          </cell>
        </row>
        <row r="8">
          <cell r="C8" t="str">
            <v>2616040Y00</v>
          </cell>
          <cell r="D8">
            <v>3</v>
          </cell>
          <cell r="E8">
            <v>0</v>
          </cell>
          <cell r="F8">
            <v>415</v>
          </cell>
          <cell r="G8" t="str">
            <v>STR/L</v>
          </cell>
          <cell r="H8">
            <v>0</v>
          </cell>
          <cell r="I8">
            <v>8000</v>
          </cell>
        </row>
        <row r="9">
          <cell r="C9" t="str">
            <v>264101L003</v>
          </cell>
          <cell r="D9">
            <v>3</v>
          </cell>
          <cell r="E9">
            <v>0</v>
          </cell>
          <cell r="F9">
            <v>415</v>
          </cell>
          <cell r="G9" t="str">
            <v>R/L</v>
          </cell>
          <cell r="H9">
            <v>0</v>
          </cell>
          <cell r="I9">
            <v>4100</v>
          </cell>
        </row>
        <row r="10">
          <cell r="C10" t="str">
            <v>2642045V00</v>
          </cell>
          <cell r="D10">
            <v>3</v>
          </cell>
          <cell r="E10">
            <v>0</v>
          </cell>
          <cell r="F10">
            <v>415</v>
          </cell>
          <cell r="G10" t="str">
            <v>STEP/L</v>
          </cell>
          <cell r="H10">
            <v>0</v>
          </cell>
          <cell r="I10">
            <v>3600</v>
          </cell>
        </row>
        <row r="11">
          <cell r="C11" t="str">
            <v>26420AA300</v>
          </cell>
          <cell r="D11">
            <v>2</v>
          </cell>
          <cell r="E11">
            <v>0</v>
          </cell>
          <cell r="F11">
            <v>415</v>
          </cell>
          <cell r="G11" t="str">
            <v>STEP/L</v>
          </cell>
          <cell r="H11" t="str">
            <v>E000</v>
          </cell>
          <cell r="I11">
            <v>150</v>
          </cell>
        </row>
        <row r="12">
          <cell r="C12" t="str">
            <v>2642140Y00</v>
          </cell>
          <cell r="D12">
            <v>3</v>
          </cell>
          <cell r="E12">
            <v>0</v>
          </cell>
          <cell r="F12">
            <v>415</v>
          </cell>
          <cell r="G12" t="str">
            <v>STEP/L</v>
          </cell>
          <cell r="H12">
            <v>0</v>
          </cell>
          <cell r="I12">
            <v>100</v>
          </cell>
        </row>
        <row r="13">
          <cell r="C13" t="str">
            <v>264302N300</v>
          </cell>
          <cell r="D13">
            <v>3</v>
          </cell>
          <cell r="E13">
            <v>0</v>
          </cell>
          <cell r="F13">
            <v>415</v>
          </cell>
          <cell r="G13" t="str">
            <v>MAP/L</v>
          </cell>
          <cell r="H13">
            <v>0</v>
          </cell>
          <cell r="I13">
            <v>3800</v>
          </cell>
        </row>
        <row r="14">
          <cell r="C14" t="str">
            <v>264305L301</v>
          </cell>
          <cell r="D14">
            <v>3</v>
          </cell>
          <cell r="E14">
            <v>0</v>
          </cell>
          <cell r="F14">
            <v>415</v>
          </cell>
          <cell r="G14" t="str">
            <v>MAP/L</v>
          </cell>
          <cell r="H14">
            <v>0</v>
          </cell>
          <cell r="I14">
            <v>3800</v>
          </cell>
        </row>
        <row r="15">
          <cell r="C15" t="str">
            <v>265101L000</v>
          </cell>
          <cell r="D15">
            <v>0</v>
          </cell>
          <cell r="E15">
            <v>0</v>
          </cell>
          <cell r="F15">
            <v>415</v>
          </cell>
          <cell r="G15" t="str">
            <v>L/L</v>
          </cell>
          <cell r="H15">
            <v>0</v>
          </cell>
          <cell r="I15">
            <v>0</v>
          </cell>
        </row>
        <row r="16">
          <cell r="C16" t="str">
            <v>26510AA000</v>
          </cell>
          <cell r="D16">
            <v>1</v>
          </cell>
          <cell r="E16">
            <v>0</v>
          </cell>
          <cell r="F16">
            <v>415</v>
          </cell>
          <cell r="G16" t="str">
            <v>L/L</v>
          </cell>
          <cell r="H16" t="str">
            <v>D000</v>
          </cell>
          <cell r="I16">
            <v>4800</v>
          </cell>
        </row>
        <row r="17">
          <cell r="C17" t="str">
            <v>26540AA100</v>
          </cell>
          <cell r="D17">
            <v>1</v>
          </cell>
          <cell r="E17">
            <v>0</v>
          </cell>
          <cell r="F17">
            <v>415</v>
          </cell>
          <cell r="G17" t="str">
            <v>B/L</v>
          </cell>
          <cell r="H17" t="str">
            <v>B040</v>
          </cell>
          <cell r="I17">
            <v>1800</v>
          </cell>
        </row>
        <row r="18">
          <cell r="C18" t="str">
            <v>26550AA102</v>
          </cell>
          <cell r="D18">
            <v>1</v>
          </cell>
          <cell r="E18">
            <v>0</v>
          </cell>
          <cell r="F18">
            <v>214</v>
          </cell>
          <cell r="G18" t="str">
            <v>RC/L</v>
          </cell>
          <cell r="H18" t="str">
            <v>B000</v>
          </cell>
          <cell r="I18">
            <v>150</v>
          </cell>
        </row>
        <row r="19">
          <cell r="C19" t="str">
            <v>26550AA103</v>
          </cell>
          <cell r="D19">
            <v>1</v>
          </cell>
          <cell r="E19">
            <v>0</v>
          </cell>
          <cell r="F19">
            <v>214</v>
          </cell>
          <cell r="G19" t="str">
            <v>RC/L</v>
          </cell>
          <cell r="H19" t="str">
            <v>B000</v>
          </cell>
          <cell r="I19">
            <v>150</v>
          </cell>
        </row>
        <row r="20">
          <cell r="C20" t="str">
            <v>26550AA104</v>
          </cell>
          <cell r="D20">
            <v>1</v>
          </cell>
          <cell r="E20">
            <v>0</v>
          </cell>
          <cell r="F20">
            <v>214</v>
          </cell>
          <cell r="G20" t="str">
            <v>RC/L</v>
          </cell>
          <cell r="H20" t="str">
            <v>B000</v>
          </cell>
          <cell r="I20">
            <v>150</v>
          </cell>
        </row>
        <row r="21">
          <cell r="C21" t="str">
            <v>26550AA105</v>
          </cell>
          <cell r="D21">
            <v>1</v>
          </cell>
          <cell r="E21">
            <v>0</v>
          </cell>
          <cell r="F21">
            <v>214</v>
          </cell>
          <cell r="G21" t="str">
            <v>RC/L</v>
          </cell>
          <cell r="H21" t="str">
            <v>B000</v>
          </cell>
          <cell r="I21">
            <v>150</v>
          </cell>
        </row>
        <row r="22">
          <cell r="C22" t="str">
            <v>26550AA106</v>
          </cell>
          <cell r="D22">
            <v>1</v>
          </cell>
          <cell r="E22">
            <v>0</v>
          </cell>
          <cell r="F22">
            <v>214</v>
          </cell>
          <cell r="G22" t="str">
            <v>RC/L</v>
          </cell>
          <cell r="H22" t="str">
            <v>B000</v>
          </cell>
          <cell r="I22">
            <v>150</v>
          </cell>
        </row>
        <row r="23">
          <cell r="C23" t="str">
            <v>26550AA107</v>
          </cell>
          <cell r="D23">
            <v>1</v>
          </cell>
          <cell r="E23">
            <v>0</v>
          </cell>
          <cell r="F23">
            <v>214</v>
          </cell>
          <cell r="G23" t="str">
            <v>RC/L</v>
          </cell>
          <cell r="H23" t="str">
            <v>B000</v>
          </cell>
          <cell r="I23">
            <v>150</v>
          </cell>
        </row>
        <row r="24">
          <cell r="C24" t="str">
            <v>26550AA108</v>
          </cell>
          <cell r="D24">
            <v>1</v>
          </cell>
          <cell r="E24">
            <v>0</v>
          </cell>
          <cell r="F24">
            <v>214</v>
          </cell>
          <cell r="G24" t="str">
            <v>RC/L</v>
          </cell>
          <cell r="H24" t="str">
            <v>B000</v>
          </cell>
          <cell r="I24">
            <v>150</v>
          </cell>
        </row>
        <row r="25">
          <cell r="C25" t="str">
            <v>26550AA302</v>
          </cell>
          <cell r="D25">
            <v>2</v>
          </cell>
          <cell r="E25">
            <v>0</v>
          </cell>
          <cell r="F25">
            <v>214</v>
          </cell>
          <cell r="G25" t="str">
            <v>RC/L</v>
          </cell>
          <cell r="H25" t="str">
            <v>B000</v>
          </cell>
          <cell r="I25">
            <v>150</v>
          </cell>
        </row>
        <row r="26">
          <cell r="C26" t="str">
            <v>26550AA303</v>
          </cell>
          <cell r="D26">
            <v>2</v>
          </cell>
          <cell r="E26">
            <v>0</v>
          </cell>
          <cell r="F26">
            <v>214</v>
          </cell>
          <cell r="G26" t="str">
            <v>RC/L</v>
          </cell>
          <cell r="H26" t="str">
            <v>B000</v>
          </cell>
          <cell r="I26">
            <v>150</v>
          </cell>
        </row>
        <row r="27">
          <cell r="C27" t="str">
            <v>26550AA304</v>
          </cell>
          <cell r="D27">
            <v>2</v>
          </cell>
          <cell r="E27">
            <v>0</v>
          </cell>
          <cell r="F27">
            <v>214</v>
          </cell>
          <cell r="G27" t="str">
            <v>RC/L</v>
          </cell>
          <cell r="H27" t="str">
            <v>B000</v>
          </cell>
          <cell r="I27">
            <v>150</v>
          </cell>
        </row>
        <row r="28">
          <cell r="C28" t="str">
            <v>26550AA306</v>
          </cell>
          <cell r="D28">
            <v>2</v>
          </cell>
          <cell r="E28">
            <v>0</v>
          </cell>
          <cell r="F28">
            <v>214</v>
          </cell>
          <cell r="G28" t="str">
            <v>RC/L</v>
          </cell>
          <cell r="H28" t="str">
            <v>B000</v>
          </cell>
          <cell r="I28">
            <v>150</v>
          </cell>
        </row>
        <row r="29">
          <cell r="C29" t="str">
            <v>26550AA307</v>
          </cell>
          <cell r="D29">
            <v>2</v>
          </cell>
          <cell r="E29">
            <v>0</v>
          </cell>
          <cell r="F29">
            <v>214</v>
          </cell>
          <cell r="G29" t="str">
            <v>RC/L</v>
          </cell>
          <cell r="H29" t="str">
            <v>B000</v>
          </cell>
          <cell r="I29">
            <v>150</v>
          </cell>
        </row>
        <row r="30">
          <cell r="C30" t="str">
            <v>26550AA308</v>
          </cell>
          <cell r="D30">
            <v>2</v>
          </cell>
          <cell r="E30">
            <v>0</v>
          </cell>
          <cell r="F30">
            <v>214</v>
          </cell>
          <cell r="G30" t="str">
            <v>RC/L</v>
          </cell>
          <cell r="H30" t="str">
            <v>B000</v>
          </cell>
          <cell r="I30">
            <v>150</v>
          </cell>
        </row>
        <row r="31">
          <cell r="C31" t="str">
            <v>26550AA309</v>
          </cell>
          <cell r="D31">
            <v>2</v>
          </cell>
          <cell r="E31">
            <v>0</v>
          </cell>
          <cell r="F31">
            <v>214</v>
          </cell>
          <cell r="G31" t="str">
            <v>RC/L</v>
          </cell>
          <cell r="H31" t="str">
            <v>B000</v>
          </cell>
          <cell r="I31">
            <v>150</v>
          </cell>
        </row>
        <row r="32">
          <cell r="C32" t="str">
            <v>26550AA310</v>
          </cell>
          <cell r="D32">
            <v>2</v>
          </cell>
          <cell r="E32">
            <v>0</v>
          </cell>
          <cell r="F32">
            <v>214</v>
          </cell>
          <cell r="G32" t="str">
            <v>RC/L</v>
          </cell>
          <cell r="H32" t="str">
            <v>B000</v>
          </cell>
          <cell r="I32">
            <v>150</v>
          </cell>
        </row>
        <row r="33">
          <cell r="C33" t="str">
            <v>26550AA311</v>
          </cell>
          <cell r="D33">
            <v>2</v>
          </cell>
          <cell r="E33">
            <v>0</v>
          </cell>
          <cell r="F33">
            <v>214</v>
          </cell>
          <cell r="G33" t="str">
            <v>RC/L</v>
          </cell>
          <cell r="H33" t="str">
            <v>B000</v>
          </cell>
          <cell r="I33">
            <v>150</v>
          </cell>
        </row>
        <row r="34">
          <cell r="C34" t="str">
            <v>26555AA102</v>
          </cell>
          <cell r="D34">
            <v>1</v>
          </cell>
          <cell r="E34">
            <v>0</v>
          </cell>
          <cell r="F34">
            <v>214</v>
          </cell>
          <cell r="G34" t="str">
            <v>RC/L</v>
          </cell>
          <cell r="H34" t="str">
            <v>B000</v>
          </cell>
          <cell r="I34">
            <v>150</v>
          </cell>
        </row>
        <row r="35">
          <cell r="C35" t="str">
            <v>26555AA103</v>
          </cell>
          <cell r="D35">
            <v>1</v>
          </cell>
          <cell r="E35">
            <v>0</v>
          </cell>
          <cell r="F35">
            <v>214</v>
          </cell>
          <cell r="G35" t="str">
            <v>RC/L</v>
          </cell>
          <cell r="H35" t="str">
            <v>B000</v>
          </cell>
          <cell r="I35">
            <v>150</v>
          </cell>
        </row>
        <row r="36">
          <cell r="C36" t="str">
            <v>26555AA104</v>
          </cell>
          <cell r="D36">
            <v>1</v>
          </cell>
          <cell r="E36">
            <v>0</v>
          </cell>
          <cell r="F36">
            <v>214</v>
          </cell>
          <cell r="G36" t="str">
            <v>RC/L</v>
          </cell>
          <cell r="H36" t="str">
            <v>B000</v>
          </cell>
          <cell r="I36">
            <v>150</v>
          </cell>
        </row>
        <row r="37">
          <cell r="C37" t="str">
            <v>26555AA105</v>
          </cell>
          <cell r="D37">
            <v>1</v>
          </cell>
          <cell r="E37">
            <v>0</v>
          </cell>
          <cell r="F37">
            <v>214</v>
          </cell>
          <cell r="G37" t="str">
            <v>RC/L</v>
          </cell>
          <cell r="H37" t="str">
            <v>B000</v>
          </cell>
          <cell r="I37">
            <v>150</v>
          </cell>
        </row>
        <row r="38">
          <cell r="C38" t="str">
            <v>26555AA106</v>
          </cell>
          <cell r="D38">
            <v>1</v>
          </cell>
          <cell r="E38">
            <v>0</v>
          </cell>
          <cell r="F38">
            <v>214</v>
          </cell>
          <cell r="G38" t="str">
            <v>RC/L</v>
          </cell>
          <cell r="H38" t="str">
            <v>B000</v>
          </cell>
          <cell r="I38">
            <v>150</v>
          </cell>
        </row>
        <row r="39">
          <cell r="C39" t="str">
            <v>26555AA107</v>
          </cell>
          <cell r="D39">
            <v>1</v>
          </cell>
          <cell r="E39">
            <v>0</v>
          </cell>
          <cell r="F39">
            <v>214</v>
          </cell>
          <cell r="G39" t="str">
            <v>RC/L</v>
          </cell>
          <cell r="H39" t="str">
            <v>B000</v>
          </cell>
          <cell r="I39">
            <v>150</v>
          </cell>
        </row>
        <row r="40">
          <cell r="C40" t="str">
            <v>26555AA108</v>
          </cell>
          <cell r="D40">
            <v>1</v>
          </cell>
          <cell r="E40">
            <v>0</v>
          </cell>
          <cell r="F40">
            <v>214</v>
          </cell>
          <cell r="G40" t="str">
            <v>RC/L</v>
          </cell>
          <cell r="H40" t="str">
            <v>B000</v>
          </cell>
          <cell r="I40">
            <v>150</v>
          </cell>
        </row>
        <row r="41">
          <cell r="C41" t="str">
            <v>26555AA302</v>
          </cell>
          <cell r="D41">
            <v>2</v>
          </cell>
          <cell r="E41">
            <v>0</v>
          </cell>
          <cell r="F41">
            <v>214</v>
          </cell>
          <cell r="G41" t="str">
            <v>RC/L</v>
          </cell>
          <cell r="H41" t="str">
            <v>B000</v>
          </cell>
          <cell r="I41">
            <v>150</v>
          </cell>
        </row>
        <row r="42">
          <cell r="C42" t="str">
            <v>26555AA303</v>
          </cell>
          <cell r="D42">
            <v>2</v>
          </cell>
          <cell r="E42">
            <v>0</v>
          </cell>
          <cell r="F42">
            <v>214</v>
          </cell>
          <cell r="G42" t="str">
            <v>RC/L</v>
          </cell>
          <cell r="H42" t="str">
            <v>B000</v>
          </cell>
          <cell r="I42">
            <v>150</v>
          </cell>
        </row>
        <row r="43">
          <cell r="C43" t="str">
            <v>26555AA304</v>
          </cell>
          <cell r="D43">
            <v>2</v>
          </cell>
          <cell r="E43">
            <v>0</v>
          </cell>
          <cell r="F43">
            <v>214</v>
          </cell>
          <cell r="G43" t="str">
            <v>RC/L</v>
          </cell>
          <cell r="H43" t="str">
            <v>B000</v>
          </cell>
          <cell r="I43">
            <v>150</v>
          </cell>
        </row>
        <row r="44">
          <cell r="C44" t="str">
            <v>26555AA306</v>
          </cell>
          <cell r="D44">
            <v>2</v>
          </cell>
          <cell r="E44">
            <v>0</v>
          </cell>
          <cell r="F44">
            <v>214</v>
          </cell>
          <cell r="G44" t="str">
            <v>RC/L</v>
          </cell>
          <cell r="H44" t="str">
            <v>B000</v>
          </cell>
          <cell r="I44">
            <v>150</v>
          </cell>
        </row>
        <row r="45">
          <cell r="C45" t="str">
            <v>26555AA307</v>
          </cell>
          <cell r="D45">
            <v>2</v>
          </cell>
          <cell r="E45">
            <v>0</v>
          </cell>
          <cell r="F45">
            <v>214</v>
          </cell>
          <cell r="G45" t="str">
            <v>RC/L</v>
          </cell>
          <cell r="H45" t="str">
            <v>B000</v>
          </cell>
          <cell r="I45">
            <v>150</v>
          </cell>
        </row>
        <row r="46">
          <cell r="C46" t="str">
            <v>26555AA308</v>
          </cell>
          <cell r="D46">
            <v>2</v>
          </cell>
          <cell r="E46">
            <v>0</v>
          </cell>
          <cell r="F46">
            <v>214</v>
          </cell>
          <cell r="G46" t="str">
            <v>RC/L</v>
          </cell>
          <cell r="H46" t="str">
            <v>B000</v>
          </cell>
          <cell r="I46">
            <v>150</v>
          </cell>
        </row>
        <row r="47">
          <cell r="C47" t="str">
            <v>26555AA309</v>
          </cell>
          <cell r="D47">
            <v>2</v>
          </cell>
          <cell r="E47">
            <v>0</v>
          </cell>
          <cell r="F47">
            <v>214</v>
          </cell>
          <cell r="G47" t="str">
            <v>RC/L</v>
          </cell>
          <cell r="H47" t="str">
            <v>B000</v>
          </cell>
          <cell r="I47">
            <v>150</v>
          </cell>
        </row>
        <row r="48">
          <cell r="C48" t="str">
            <v>26555AA310</v>
          </cell>
          <cell r="D48">
            <v>2</v>
          </cell>
          <cell r="E48">
            <v>0</v>
          </cell>
          <cell r="F48">
            <v>214</v>
          </cell>
          <cell r="G48" t="str">
            <v>RC/L</v>
          </cell>
          <cell r="H48" t="str">
            <v>B000</v>
          </cell>
          <cell r="I48">
            <v>150</v>
          </cell>
        </row>
        <row r="49">
          <cell r="C49" t="str">
            <v>26555AA311</v>
          </cell>
          <cell r="D49">
            <v>2</v>
          </cell>
          <cell r="E49">
            <v>0</v>
          </cell>
          <cell r="F49">
            <v>214</v>
          </cell>
          <cell r="G49" t="str">
            <v>RC/L</v>
          </cell>
          <cell r="H49" t="str">
            <v>B000</v>
          </cell>
          <cell r="I49">
            <v>150</v>
          </cell>
        </row>
        <row r="50">
          <cell r="C50" t="str">
            <v>26580AA100</v>
          </cell>
          <cell r="D50">
            <v>1</v>
          </cell>
          <cell r="E50">
            <v>0</v>
          </cell>
          <cell r="F50">
            <v>415</v>
          </cell>
          <cell r="G50" t="str">
            <v>RR/F0G</v>
          </cell>
          <cell r="H50" t="str">
            <v>D300</v>
          </cell>
          <cell r="I50">
            <v>1800</v>
          </cell>
        </row>
        <row r="51">
          <cell r="C51" t="str">
            <v>26975AA000</v>
          </cell>
          <cell r="D51">
            <v>1</v>
          </cell>
          <cell r="E51">
            <v>0</v>
          </cell>
          <cell r="F51">
            <v>415</v>
          </cell>
          <cell r="G51" t="str">
            <v>BRKT</v>
          </cell>
          <cell r="H51" t="str">
            <v>B239</v>
          </cell>
          <cell r="I51">
            <v>4000</v>
          </cell>
        </row>
        <row r="52">
          <cell r="C52" t="str">
            <v>28881AA000</v>
          </cell>
          <cell r="D52">
            <v>1</v>
          </cell>
          <cell r="E52">
            <v>0</v>
          </cell>
          <cell r="F52">
            <v>714</v>
          </cell>
          <cell r="G52" t="str">
            <v>UW/A</v>
          </cell>
          <cell r="H52" t="str">
            <v>K020</v>
          </cell>
          <cell r="I52">
            <v>3700</v>
          </cell>
        </row>
        <row r="53">
          <cell r="C53" t="str">
            <v>288826J000</v>
          </cell>
          <cell r="D53">
            <v>0</v>
          </cell>
          <cell r="E53">
            <v>0</v>
          </cell>
          <cell r="F53">
            <v>714</v>
          </cell>
          <cell r="G53" t="str">
            <v>C0VER</v>
          </cell>
          <cell r="H53">
            <v>0</v>
          </cell>
          <cell r="I53">
            <v>8000</v>
          </cell>
        </row>
        <row r="54">
          <cell r="C54" t="str">
            <v>28886AA000</v>
          </cell>
          <cell r="D54">
            <v>1</v>
          </cell>
          <cell r="E54">
            <v>0</v>
          </cell>
          <cell r="F54">
            <v>714</v>
          </cell>
          <cell r="G54" t="str">
            <v>UW/A</v>
          </cell>
          <cell r="H54" t="str">
            <v>K020</v>
          </cell>
          <cell r="I54">
            <v>3700</v>
          </cell>
        </row>
        <row r="55">
          <cell r="C55" t="str">
            <v>28890AA010</v>
          </cell>
          <cell r="D55">
            <v>1</v>
          </cell>
          <cell r="E55">
            <v>0</v>
          </cell>
          <cell r="F55">
            <v>714</v>
          </cell>
          <cell r="G55" t="str">
            <v>UW/B</v>
          </cell>
          <cell r="H55" t="str">
            <v>K120</v>
          </cell>
          <cell r="I55">
            <v>3700</v>
          </cell>
        </row>
        <row r="56">
          <cell r="C56" t="str">
            <v>28891AA400</v>
          </cell>
          <cell r="D56">
            <v>1</v>
          </cell>
          <cell r="E56">
            <v>0</v>
          </cell>
          <cell r="F56">
            <v>714</v>
          </cell>
          <cell r="G56" t="str">
            <v>W/B</v>
          </cell>
          <cell r="H56" t="str">
            <v>K170</v>
          </cell>
          <cell r="I56">
            <v>3700</v>
          </cell>
        </row>
        <row r="57">
          <cell r="C57" t="str">
            <v>96303AA000</v>
          </cell>
          <cell r="D57">
            <v>1</v>
          </cell>
          <cell r="E57">
            <v>0</v>
          </cell>
          <cell r="F57">
            <v>513</v>
          </cell>
          <cell r="G57" t="str">
            <v>M1RR0R</v>
          </cell>
          <cell r="H57" t="str">
            <v>G169</v>
          </cell>
          <cell r="I57">
            <v>4000</v>
          </cell>
        </row>
        <row r="58">
          <cell r="C58" t="str">
            <v>96304AA000</v>
          </cell>
          <cell r="D58">
            <v>1</v>
          </cell>
          <cell r="E58">
            <v>0</v>
          </cell>
          <cell r="F58">
            <v>513</v>
          </cell>
          <cell r="G58" t="str">
            <v>M1RR0R</v>
          </cell>
          <cell r="H58" t="str">
            <v>G169</v>
          </cell>
          <cell r="I58">
            <v>4000</v>
          </cell>
        </row>
        <row r="59">
          <cell r="C59" t="str">
            <v>96321AA000</v>
          </cell>
          <cell r="D59">
            <v>1</v>
          </cell>
          <cell r="E59">
            <v>0</v>
          </cell>
          <cell r="F59">
            <v>563</v>
          </cell>
          <cell r="G59" t="str">
            <v>1/M</v>
          </cell>
          <cell r="H59" t="str">
            <v>H100</v>
          </cell>
          <cell r="I59">
            <v>3700</v>
          </cell>
        </row>
        <row r="60">
          <cell r="C60" t="str">
            <v>96328AA100</v>
          </cell>
          <cell r="D60">
            <v>1</v>
          </cell>
          <cell r="E60">
            <v>0</v>
          </cell>
          <cell r="F60">
            <v>563</v>
          </cell>
          <cell r="G60" t="str">
            <v>RUB</v>
          </cell>
          <cell r="H60" t="str">
            <v>H109</v>
          </cell>
          <cell r="I60">
            <v>3700</v>
          </cell>
        </row>
        <row r="61">
          <cell r="C61" t="str">
            <v>96329AA000</v>
          </cell>
          <cell r="D61">
            <v>1</v>
          </cell>
          <cell r="E61">
            <v>0</v>
          </cell>
          <cell r="F61">
            <v>563</v>
          </cell>
          <cell r="G61" t="str">
            <v>C0VER</v>
          </cell>
          <cell r="H61" t="str">
            <v>H102</v>
          </cell>
          <cell r="I61">
            <v>3700</v>
          </cell>
        </row>
        <row r="62">
          <cell r="C62" t="str">
            <v>26010AD000</v>
          </cell>
          <cell r="D62">
            <v>1</v>
          </cell>
          <cell r="E62">
            <v>0</v>
          </cell>
          <cell r="F62">
            <v>151</v>
          </cell>
          <cell r="G62" t="str">
            <v>H/L</v>
          </cell>
          <cell r="H62" t="str">
            <v>A190</v>
          </cell>
          <cell r="I62">
            <v>3500</v>
          </cell>
        </row>
        <row r="63">
          <cell r="C63" t="str">
            <v>26010AD010</v>
          </cell>
          <cell r="D63">
            <v>2</v>
          </cell>
          <cell r="E63">
            <v>0</v>
          </cell>
          <cell r="F63">
            <v>151</v>
          </cell>
          <cell r="G63" t="str">
            <v>H/L</v>
          </cell>
          <cell r="H63" t="str">
            <v>A190</v>
          </cell>
          <cell r="I63">
            <v>0</v>
          </cell>
        </row>
        <row r="64">
          <cell r="C64" t="str">
            <v>26010AD500</v>
          </cell>
          <cell r="D64">
            <v>1</v>
          </cell>
          <cell r="E64">
            <v>0</v>
          </cell>
          <cell r="F64">
            <v>151</v>
          </cell>
          <cell r="G64" t="str">
            <v>H/L</v>
          </cell>
          <cell r="H64" t="str">
            <v>A400</v>
          </cell>
          <cell r="I64">
            <v>500</v>
          </cell>
        </row>
        <row r="65">
          <cell r="C65" t="str">
            <v>26040AD000</v>
          </cell>
          <cell r="D65">
            <v>1</v>
          </cell>
          <cell r="E65">
            <v>0</v>
          </cell>
          <cell r="F65">
            <v>151</v>
          </cell>
          <cell r="G65" t="str">
            <v>BRKT</v>
          </cell>
          <cell r="H65" t="str">
            <v>A199</v>
          </cell>
          <cell r="I65">
            <v>4500</v>
          </cell>
        </row>
        <row r="66">
          <cell r="C66" t="str">
            <v>26040AD005</v>
          </cell>
          <cell r="D66">
            <v>1</v>
          </cell>
          <cell r="E66">
            <v>0</v>
          </cell>
          <cell r="F66">
            <v>151</v>
          </cell>
          <cell r="G66" t="str">
            <v>BRKT</v>
          </cell>
          <cell r="H66" t="str">
            <v>A409</v>
          </cell>
          <cell r="I66">
            <v>500</v>
          </cell>
        </row>
        <row r="67">
          <cell r="C67" t="str">
            <v>26060AD000</v>
          </cell>
          <cell r="D67">
            <v>1</v>
          </cell>
          <cell r="E67">
            <v>0</v>
          </cell>
          <cell r="F67">
            <v>151</v>
          </cell>
          <cell r="G67" t="str">
            <v>H/L</v>
          </cell>
          <cell r="H67" t="str">
            <v>A190</v>
          </cell>
          <cell r="I67">
            <v>3500</v>
          </cell>
        </row>
        <row r="68">
          <cell r="C68" t="str">
            <v>26060AD010</v>
          </cell>
          <cell r="D68">
            <v>2</v>
          </cell>
          <cell r="E68">
            <v>0</v>
          </cell>
          <cell r="F68">
            <v>151</v>
          </cell>
          <cell r="G68" t="str">
            <v>H/L</v>
          </cell>
          <cell r="H68" t="str">
            <v>A190</v>
          </cell>
          <cell r="I68">
            <v>0</v>
          </cell>
        </row>
        <row r="69">
          <cell r="C69" t="str">
            <v>26060AD510</v>
          </cell>
          <cell r="D69">
            <v>0</v>
          </cell>
          <cell r="E69">
            <v>0</v>
          </cell>
          <cell r="F69">
            <v>151</v>
          </cell>
          <cell r="G69" t="str">
            <v>H/L</v>
          </cell>
          <cell r="H69" t="str">
            <v>A400</v>
          </cell>
          <cell r="I69">
            <v>1000</v>
          </cell>
        </row>
        <row r="70">
          <cell r="C70" t="str">
            <v>26090AD000</v>
          </cell>
          <cell r="D70">
            <v>1</v>
          </cell>
          <cell r="E70">
            <v>0</v>
          </cell>
          <cell r="F70">
            <v>151</v>
          </cell>
          <cell r="G70" t="str">
            <v>BRKT</v>
          </cell>
          <cell r="H70" t="str">
            <v>A199</v>
          </cell>
          <cell r="I70">
            <v>4500</v>
          </cell>
        </row>
        <row r="71">
          <cell r="C71" t="str">
            <v>26090AD005</v>
          </cell>
          <cell r="D71">
            <v>1</v>
          </cell>
          <cell r="E71">
            <v>0</v>
          </cell>
          <cell r="F71">
            <v>151</v>
          </cell>
          <cell r="G71" t="str">
            <v>BRKT</v>
          </cell>
          <cell r="H71" t="str">
            <v>A409</v>
          </cell>
          <cell r="I71">
            <v>500</v>
          </cell>
        </row>
        <row r="72">
          <cell r="C72" t="str">
            <v>26120AD000</v>
          </cell>
          <cell r="D72">
            <v>1</v>
          </cell>
          <cell r="E72">
            <v>0</v>
          </cell>
          <cell r="F72">
            <v>415</v>
          </cell>
          <cell r="G72" t="str">
            <v>FC/L</v>
          </cell>
          <cell r="H72" t="str">
            <v>B100</v>
          </cell>
          <cell r="I72">
            <v>5000</v>
          </cell>
        </row>
        <row r="73">
          <cell r="C73" t="str">
            <v>26125AD000</v>
          </cell>
          <cell r="D73">
            <v>1</v>
          </cell>
          <cell r="E73">
            <v>0</v>
          </cell>
          <cell r="F73">
            <v>415</v>
          </cell>
          <cell r="G73" t="str">
            <v>FC/L</v>
          </cell>
          <cell r="H73" t="str">
            <v>B100</v>
          </cell>
          <cell r="I73">
            <v>5000</v>
          </cell>
        </row>
        <row r="74">
          <cell r="C74" t="str">
            <v>26150AD000</v>
          </cell>
          <cell r="D74">
            <v>1</v>
          </cell>
          <cell r="E74">
            <v>0</v>
          </cell>
          <cell r="F74">
            <v>415</v>
          </cell>
          <cell r="G74" t="str">
            <v>F/L</v>
          </cell>
          <cell r="H74" t="str">
            <v>D300</v>
          </cell>
          <cell r="I74">
            <v>5000</v>
          </cell>
        </row>
        <row r="75">
          <cell r="C75" t="str">
            <v>26410AD000</v>
          </cell>
          <cell r="D75">
            <v>1</v>
          </cell>
          <cell r="E75">
            <v>0</v>
          </cell>
          <cell r="F75">
            <v>415</v>
          </cell>
          <cell r="G75" t="str">
            <v>R/L</v>
          </cell>
          <cell r="H75" t="str">
            <v>D100</v>
          </cell>
          <cell r="I75">
            <v>1000</v>
          </cell>
        </row>
        <row r="76">
          <cell r="C76" t="str">
            <v>26410AD001</v>
          </cell>
          <cell r="D76">
            <v>1</v>
          </cell>
          <cell r="E76">
            <v>0</v>
          </cell>
          <cell r="F76">
            <v>415</v>
          </cell>
          <cell r="G76" t="str">
            <v>R/L</v>
          </cell>
          <cell r="H76" t="str">
            <v>D100</v>
          </cell>
          <cell r="I76">
            <v>1000</v>
          </cell>
        </row>
        <row r="77">
          <cell r="C77" t="str">
            <v>26410AD200</v>
          </cell>
          <cell r="D77">
            <v>1</v>
          </cell>
          <cell r="E77">
            <v>0</v>
          </cell>
          <cell r="F77">
            <v>415</v>
          </cell>
          <cell r="G77" t="str">
            <v>R/L</v>
          </cell>
          <cell r="H77" t="str">
            <v>D100</v>
          </cell>
          <cell r="I77">
            <v>1000</v>
          </cell>
        </row>
        <row r="78">
          <cell r="C78" t="str">
            <v>26410AD201</v>
          </cell>
          <cell r="D78">
            <v>1</v>
          </cell>
          <cell r="E78">
            <v>0</v>
          </cell>
          <cell r="F78">
            <v>415</v>
          </cell>
          <cell r="G78" t="str">
            <v>R/L</v>
          </cell>
          <cell r="H78" t="str">
            <v>D100</v>
          </cell>
          <cell r="I78">
            <v>1000</v>
          </cell>
        </row>
        <row r="79">
          <cell r="C79" t="str">
            <v>264204P100</v>
          </cell>
          <cell r="D79">
            <v>2</v>
          </cell>
          <cell r="E79">
            <v>0</v>
          </cell>
          <cell r="F79">
            <v>415</v>
          </cell>
          <cell r="G79" t="str">
            <v>STP/L</v>
          </cell>
          <cell r="H79">
            <v>0</v>
          </cell>
          <cell r="I79">
            <v>20000</v>
          </cell>
        </row>
        <row r="80">
          <cell r="C80" t="str">
            <v>26421AD000</v>
          </cell>
          <cell r="D80">
            <v>2</v>
          </cell>
          <cell r="E80">
            <v>0</v>
          </cell>
          <cell r="F80">
            <v>415</v>
          </cell>
          <cell r="G80" t="str">
            <v>LENS</v>
          </cell>
          <cell r="H80" t="str">
            <v>E009</v>
          </cell>
          <cell r="I80">
            <v>2000</v>
          </cell>
        </row>
        <row r="81">
          <cell r="C81" t="str">
            <v>264305L301</v>
          </cell>
          <cell r="D81">
            <v>3</v>
          </cell>
          <cell r="E81">
            <v>0</v>
          </cell>
          <cell r="F81">
            <v>415</v>
          </cell>
          <cell r="G81" t="str">
            <v>MAP/L</v>
          </cell>
          <cell r="H81">
            <v>0</v>
          </cell>
          <cell r="I81">
            <v>1250</v>
          </cell>
        </row>
        <row r="82">
          <cell r="C82" t="str">
            <v>26430AD000</v>
          </cell>
          <cell r="D82">
            <v>1</v>
          </cell>
          <cell r="E82">
            <v>0</v>
          </cell>
          <cell r="F82">
            <v>415</v>
          </cell>
          <cell r="G82" t="str">
            <v>MAP/L</v>
          </cell>
          <cell r="H82" t="str">
            <v>E010</v>
          </cell>
          <cell r="I82">
            <v>1000</v>
          </cell>
        </row>
        <row r="83">
          <cell r="C83" t="str">
            <v>26430AD100</v>
          </cell>
          <cell r="D83">
            <v>1</v>
          </cell>
          <cell r="E83">
            <v>0</v>
          </cell>
          <cell r="F83">
            <v>415</v>
          </cell>
          <cell r="G83" t="str">
            <v>MAP/L</v>
          </cell>
          <cell r="H83" t="str">
            <v>E010</v>
          </cell>
          <cell r="I83">
            <v>2500</v>
          </cell>
        </row>
        <row r="84">
          <cell r="C84" t="str">
            <v>26430AD101</v>
          </cell>
          <cell r="D84">
            <v>1</v>
          </cell>
          <cell r="E84">
            <v>0</v>
          </cell>
          <cell r="F84">
            <v>415</v>
          </cell>
          <cell r="G84" t="str">
            <v>MAP/L</v>
          </cell>
          <cell r="H84" t="str">
            <v>E010</v>
          </cell>
          <cell r="I84">
            <v>2500</v>
          </cell>
        </row>
        <row r="85">
          <cell r="C85" t="str">
            <v>26460AD000</v>
          </cell>
          <cell r="D85">
            <v>1</v>
          </cell>
          <cell r="E85">
            <v>0</v>
          </cell>
          <cell r="F85">
            <v>415</v>
          </cell>
          <cell r="G85" t="str">
            <v>PS/L</v>
          </cell>
          <cell r="H85" t="str">
            <v>D100</v>
          </cell>
          <cell r="I85">
            <v>5000</v>
          </cell>
        </row>
        <row r="86">
          <cell r="C86" t="str">
            <v>26460AD001</v>
          </cell>
          <cell r="D86">
            <v>1</v>
          </cell>
          <cell r="E86">
            <v>0</v>
          </cell>
          <cell r="F86">
            <v>415</v>
          </cell>
          <cell r="G86" t="str">
            <v>PS/L</v>
          </cell>
          <cell r="H86" t="str">
            <v>D100</v>
          </cell>
          <cell r="I86">
            <v>5000</v>
          </cell>
        </row>
        <row r="87">
          <cell r="C87" t="str">
            <v>26490AD005</v>
          </cell>
          <cell r="D87">
            <v>2</v>
          </cell>
          <cell r="E87">
            <v>0</v>
          </cell>
          <cell r="F87">
            <v>415</v>
          </cell>
          <cell r="G87" t="str">
            <v>LUG/L</v>
          </cell>
          <cell r="H87" t="str">
            <v>E090</v>
          </cell>
          <cell r="I87">
            <v>2500</v>
          </cell>
        </row>
        <row r="88">
          <cell r="C88" t="str">
            <v>26490AD006</v>
          </cell>
          <cell r="D88">
            <v>2</v>
          </cell>
          <cell r="E88">
            <v>0</v>
          </cell>
          <cell r="F88">
            <v>415</v>
          </cell>
          <cell r="G88" t="str">
            <v>LUG/L</v>
          </cell>
          <cell r="H88" t="str">
            <v>E090</v>
          </cell>
          <cell r="I88">
            <v>2500</v>
          </cell>
        </row>
        <row r="89">
          <cell r="C89" t="str">
            <v>265103J100</v>
          </cell>
          <cell r="D89">
            <v>3</v>
          </cell>
          <cell r="E89">
            <v>0</v>
          </cell>
          <cell r="F89">
            <v>415</v>
          </cell>
          <cell r="G89" t="str">
            <v>L/L</v>
          </cell>
          <cell r="H89">
            <v>0</v>
          </cell>
          <cell r="I89">
            <v>10000</v>
          </cell>
        </row>
        <row r="90">
          <cell r="C90" t="str">
            <v>26590AD000</v>
          </cell>
          <cell r="D90">
            <v>1</v>
          </cell>
          <cell r="E90">
            <v>0</v>
          </cell>
          <cell r="F90">
            <v>411</v>
          </cell>
          <cell r="G90" t="str">
            <v>HMS/L</v>
          </cell>
          <cell r="H90" t="str">
            <v>B050</v>
          </cell>
          <cell r="I90">
            <v>4000</v>
          </cell>
        </row>
        <row r="91">
          <cell r="C91" t="str">
            <v>96301AD000</v>
          </cell>
          <cell r="D91">
            <v>1</v>
          </cell>
          <cell r="E91">
            <v>0</v>
          </cell>
          <cell r="F91">
            <v>513</v>
          </cell>
          <cell r="G91" t="str">
            <v>D/M</v>
          </cell>
          <cell r="H91" t="str">
            <v>G150</v>
          </cell>
          <cell r="I91">
            <v>400</v>
          </cell>
        </row>
        <row r="92">
          <cell r="C92" t="str">
            <v>96301AD060</v>
          </cell>
          <cell r="D92">
            <v>1</v>
          </cell>
          <cell r="E92">
            <v>0</v>
          </cell>
          <cell r="F92">
            <v>513</v>
          </cell>
          <cell r="G92" t="str">
            <v>D/M</v>
          </cell>
          <cell r="H92" t="str">
            <v>G150</v>
          </cell>
          <cell r="I92">
            <v>400</v>
          </cell>
        </row>
        <row r="93">
          <cell r="C93" t="str">
            <v>96301AD100</v>
          </cell>
          <cell r="D93">
            <v>1</v>
          </cell>
          <cell r="E93">
            <v>0</v>
          </cell>
          <cell r="F93">
            <v>513</v>
          </cell>
          <cell r="G93" t="str">
            <v>D/M</v>
          </cell>
          <cell r="H93" t="str">
            <v>G150</v>
          </cell>
          <cell r="I93">
            <v>200</v>
          </cell>
        </row>
        <row r="94">
          <cell r="C94" t="str">
            <v>96301AD160</v>
          </cell>
          <cell r="D94">
            <v>1</v>
          </cell>
          <cell r="E94">
            <v>0</v>
          </cell>
          <cell r="F94">
            <v>513</v>
          </cell>
          <cell r="G94" t="str">
            <v>D/M</v>
          </cell>
          <cell r="H94" t="str">
            <v>G150</v>
          </cell>
          <cell r="I94">
            <v>200</v>
          </cell>
        </row>
        <row r="95">
          <cell r="C95" t="str">
            <v>96301AD200</v>
          </cell>
          <cell r="D95">
            <v>1</v>
          </cell>
          <cell r="E95">
            <v>0</v>
          </cell>
          <cell r="F95">
            <v>513</v>
          </cell>
          <cell r="G95" t="str">
            <v>DD/M</v>
          </cell>
          <cell r="H95" t="str">
            <v>G160</v>
          </cell>
          <cell r="I95">
            <v>2600</v>
          </cell>
        </row>
        <row r="96">
          <cell r="C96" t="str">
            <v>96301AD201</v>
          </cell>
          <cell r="D96">
            <v>1</v>
          </cell>
          <cell r="E96">
            <v>0</v>
          </cell>
          <cell r="F96">
            <v>513</v>
          </cell>
          <cell r="G96" t="str">
            <v>DD/M</v>
          </cell>
          <cell r="H96" t="str">
            <v>G160</v>
          </cell>
          <cell r="I96">
            <v>350</v>
          </cell>
        </row>
        <row r="97">
          <cell r="C97" t="str">
            <v>96301AD202</v>
          </cell>
          <cell r="D97">
            <v>1</v>
          </cell>
          <cell r="E97">
            <v>0</v>
          </cell>
          <cell r="F97">
            <v>513</v>
          </cell>
          <cell r="G97" t="str">
            <v>DD/M</v>
          </cell>
          <cell r="H97" t="str">
            <v>G160</v>
          </cell>
          <cell r="I97">
            <v>350</v>
          </cell>
        </row>
        <row r="98">
          <cell r="C98" t="str">
            <v>96301AD203</v>
          </cell>
          <cell r="D98">
            <v>1</v>
          </cell>
          <cell r="E98">
            <v>0</v>
          </cell>
          <cell r="F98">
            <v>513</v>
          </cell>
          <cell r="G98" t="str">
            <v>DD/M</v>
          </cell>
          <cell r="H98" t="str">
            <v>G160</v>
          </cell>
          <cell r="I98">
            <v>350</v>
          </cell>
        </row>
        <row r="99">
          <cell r="C99" t="str">
            <v>96301AD204</v>
          </cell>
          <cell r="D99">
            <v>1</v>
          </cell>
          <cell r="E99">
            <v>0</v>
          </cell>
          <cell r="F99">
            <v>513</v>
          </cell>
          <cell r="G99" t="str">
            <v>DD/M</v>
          </cell>
          <cell r="H99" t="str">
            <v>G160</v>
          </cell>
          <cell r="I99">
            <v>350</v>
          </cell>
        </row>
        <row r="100">
          <cell r="C100" t="str">
            <v>96301AD205</v>
          </cell>
          <cell r="D100">
            <v>1</v>
          </cell>
          <cell r="E100">
            <v>0</v>
          </cell>
          <cell r="F100">
            <v>513</v>
          </cell>
          <cell r="G100" t="str">
            <v>D/M</v>
          </cell>
          <cell r="H100" t="str">
            <v>G160</v>
          </cell>
          <cell r="I100">
            <v>10</v>
          </cell>
        </row>
        <row r="101">
          <cell r="C101" t="str">
            <v>96301AD206</v>
          </cell>
          <cell r="D101">
            <v>1</v>
          </cell>
          <cell r="E101">
            <v>0</v>
          </cell>
          <cell r="F101">
            <v>513</v>
          </cell>
          <cell r="G101" t="str">
            <v>DD/M</v>
          </cell>
          <cell r="H101" t="str">
            <v>G160</v>
          </cell>
          <cell r="I101">
            <v>350</v>
          </cell>
        </row>
        <row r="102">
          <cell r="C102" t="str">
            <v>96301AD207</v>
          </cell>
          <cell r="D102">
            <v>1</v>
          </cell>
          <cell r="E102">
            <v>0</v>
          </cell>
          <cell r="F102">
            <v>513</v>
          </cell>
          <cell r="G102" t="str">
            <v>DD/M</v>
          </cell>
          <cell r="H102" t="str">
            <v>G160</v>
          </cell>
          <cell r="I102">
            <v>350</v>
          </cell>
        </row>
        <row r="103">
          <cell r="C103" t="str">
            <v>96301AD260</v>
          </cell>
          <cell r="D103">
            <v>1</v>
          </cell>
          <cell r="E103">
            <v>0</v>
          </cell>
          <cell r="F103">
            <v>513</v>
          </cell>
          <cell r="G103" t="str">
            <v>D/M</v>
          </cell>
          <cell r="H103" t="str">
            <v>G160</v>
          </cell>
          <cell r="I103">
            <v>2500</v>
          </cell>
        </row>
        <row r="104">
          <cell r="C104" t="str">
            <v>96301AD261</v>
          </cell>
          <cell r="D104">
            <v>1</v>
          </cell>
          <cell r="E104">
            <v>0</v>
          </cell>
          <cell r="F104">
            <v>513</v>
          </cell>
          <cell r="G104" t="str">
            <v>D/M</v>
          </cell>
          <cell r="H104" t="str">
            <v>G160</v>
          </cell>
          <cell r="I104">
            <v>300</v>
          </cell>
        </row>
        <row r="105">
          <cell r="C105" t="str">
            <v>96301AD262</v>
          </cell>
          <cell r="D105">
            <v>1</v>
          </cell>
          <cell r="E105">
            <v>0</v>
          </cell>
          <cell r="F105">
            <v>513</v>
          </cell>
          <cell r="G105" t="str">
            <v>D/M</v>
          </cell>
          <cell r="H105" t="str">
            <v>G160</v>
          </cell>
          <cell r="I105">
            <v>300</v>
          </cell>
        </row>
        <row r="106">
          <cell r="C106" t="str">
            <v>96301AD263</v>
          </cell>
          <cell r="D106">
            <v>1</v>
          </cell>
          <cell r="E106">
            <v>0</v>
          </cell>
          <cell r="F106">
            <v>513</v>
          </cell>
          <cell r="G106" t="str">
            <v>D/M</v>
          </cell>
          <cell r="H106" t="str">
            <v>G160</v>
          </cell>
          <cell r="I106">
            <v>300</v>
          </cell>
        </row>
        <row r="107">
          <cell r="C107" t="str">
            <v>96301AD264</v>
          </cell>
          <cell r="D107">
            <v>1</v>
          </cell>
          <cell r="E107">
            <v>0</v>
          </cell>
          <cell r="F107">
            <v>513</v>
          </cell>
          <cell r="G107" t="str">
            <v>D/M</v>
          </cell>
          <cell r="H107" t="str">
            <v>G160</v>
          </cell>
          <cell r="I107">
            <v>300</v>
          </cell>
        </row>
        <row r="108">
          <cell r="C108" t="str">
            <v>96301AD265</v>
          </cell>
          <cell r="D108">
            <v>1</v>
          </cell>
          <cell r="E108">
            <v>0</v>
          </cell>
          <cell r="F108">
            <v>513</v>
          </cell>
          <cell r="G108" t="str">
            <v>D/M</v>
          </cell>
          <cell r="H108" t="str">
            <v>G160</v>
          </cell>
          <cell r="I108">
            <v>300</v>
          </cell>
        </row>
        <row r="109">
          <cell r="C109" t="str">
            <v>96301AD266</v>
          </cell>
          <cell r="D109">
            <v>1</v>
          </cell>
          <cell r="E109">
            <v>0</v>
          </cell>
          <cell r="F109">
            <v>513</v>
          </cell>
          <cell r="G109" t="str">
            <v>D/M</v>
          </cell>
          <cell r="H109" t="str">
            <v>G160</v>
          </cell>
          <cell r="I109">
            <v>300</v>
          </cell>
        </row>
        <row r="110">
          <cell r="C110" t="str">
            <v>96301AD267</v>
          </cell>
          <cell r="D110">
            <v>1</v>
          </cell>
          <cell r="E110">
            <v>0</v>
          </cell>
          <cell r="F110">
            <v>513</v>
          </cell>
          <cell r="G110" t="str">
            <v>D/M</v>
          </cell>
          <cell r="H110" t="str">
            <v>G160</v>
          </cell>
          <cell r="I110">
            <v>300</v>
          </cell>
        </row>
        <row r="111">
          <cell r="C111" t="str">
            <v>96301AD300</v>
          </cell>
          <cell r="D111">
            <v>1</v>
          </cell>
          <cell r="E111">
            <v>0</v>
          </cell>
          <cell r="F111">
            <v>513</v>
          </cell>
          <cell r="G111" t="str">
            <v>DD/M</v>
          </cell>
          <cell r="H111" t="str">
            <v>G160</v>
          </cell>
          <cell r="I111">
            <v>2000</v>
          </cell>
        </row>
        <row r="112">
          <cell r="C112" t="str">
            <v>96301AD301</v>
          </cell>
          <cell r="D112">
            <v>1</v>
          </cell>
          <cell r="E112">
            <v>0</v>
          </cell>
          <cell r="F112">
            <v>513</v>
          </cell>
          <cell r="G112" t="str">
            <v>DD/M</v>
          </cell>
          <cell r="H112" t="str">
            <v>G160</v>
          </cell>
          <cell r="I112">
            <v>280</v>
          </cell>
        </row>
        <row r="113">
          <cell r="C113" t="str">
            <v>96301AD302</v>
          </cell>
          <cell r="D113">
            <v>1</v>
          </cell>
          <cell r="E113">
            <v>0</v>
          </cell>
          <cell r="F113">
            <v>513</v>
          </cell>
          <cell r="G113" t="str">
            <v>DD/M</v>
          </cell>
          <cell r="H113" t="str">
            <v>G160</v>
          </cell>
          <cell r="I113">
            <v>280</v>
          </cell>
        </row>
        <row r="114">
          <cell r="C114" t="str">
            <v>96301AD303</v>
          </cell>
          <cell r="D114">
            <v>1</v>
          </cell>
          <cell r="E114">
            <v>0</v>
          </cell>
          <cell r="F114">
            <v>513</v>
          </cell>
          <cell r="G114" t="str">
            <v>DD/M</v>
          </cell>
          <cell r="H114" t="str">
            <v>G160</v>
          </cell>
          <cell r="I114">
            <v>280</v>
          </cell>
        </row>
        <row r="115">
          <cell r="C115" t="str">
            <v>96301AD304</v>
          </cell>
          <cell r="D115">
            <v>1</v>
          </cell>
          <cell r="E115">
            <v>0</v>
          </cell>
          <cell r="F115">
            <v>513</v>
          </cell>
          <cell r="G115" t="str">
            <v>DD/M</v>
          </cell>
          <cell r="H115" t="str">
            <v>G160</v>
          </cell>
          <cell r="I115">
            <v>280</v>
          </cell>
        </row>
        <row r="116">
          <cell r="C116" t="str">
            <v>96301AD305</v>
          </cell>
          <cell r="D116">
            <v>1</v>
          </cell>
          <cell r="E116">
            <v>0</v>
          </cell>
          <cell r="F116">
            <v>513</v>
          </cell>
          <cell r="G116" t="str">
            <v>D/M</v>
          </cell>
          <cell r="H116" t="str">
            <v>G160</v>
          </cell>
          <cell r="I116">
            <v>10</v>
          </cell>
        </row>
        <row r="117">
          <cell r="C117" t="str">
            <v>96301AD306</v>
          </cell>
          <cell r="D117">
            <v>1</v>
          </cell>
          <cell r="E117">
            <v>0</v>
          </cell>
          <cell r="F117">
            <v>513</v>
          </cell>
          <cell r="G117" t="str">
            <v>DD/M</v>
          </cell>
          <cell r="H117" t="str">
            <v>G160</v>
          </cell>
          <cell r="I117">
            <v>280</v>
          </cell>
        </row>
        <row r="118">
          <cell r="C118" t="str">
            <v>96301AD307</v>
          </cell>
          <cell r="D118">
            <v>1</v>
          </cell>
          <cell r="E118">
            <v>0</v>
          </cell>
          <cell r="F118">
            <v>513</v>
          </cell>
          <cell r="G118" t="str">
            <v>DD/M</v>
          </cell>
          <cell r="H118" t="str">
            <v>G160</v>
          </cell>
          <cell r="I118">
            <v>280</v>
          </cell>
        </row>
        <row r="119">
          <cell r="C119" t="str">
            <v>96301AD360</v>
          </cell>
          <cell r="D119">
            <v>1</v>
          </cell>
          <cell r="E119">
            <v>0</v>
          </cell>
          <cell r="F119">
            <v>513</v>
          </cell>
          <cell r="G119" t="str">
            <v>D/M</v>
          </cell>
          <cell r="H119" t="str">
            <v>G160</v>
          </cell>
          <cell r="I119">
            <v>250</v>
          </cell>
        </row>
        <row r="120">
          <cell r="C120" t="str">
            <v>96301AD361</v>
          </cell>
          <cell r="D120">
            <v>1</v>
          </cell>
          <cell r="E120">
            <v>0</v>
          </cell>
          <cell r="F120">
            <v>513</v>
          </cell>
          <cell r="G120" t="str">
            <v>D/M</v>
          </cell>
          <cell r="H120" t="str">
            <v>G160</v>
          </cell>
          <cell r="I120">
            <v>250</v>
          </cell>
        </row>
        <row r="121">
          <cell r="C121" t="str">
            <v>96301AD362</v>
          </cell>
          <cell r="D121">
            <v>1</v>
          </cell>
          <cell r="E121">
            <v>0</v>
          </cell>
          <cell r="F121">
            <v>513</v>
          </cell>
          <cell r="G121" t="str">
            <v>D/M</v>
          </cell>
          <cell r="H121" t="str">
            <v>G160</v>
          </cell>
          <cell r="I121">
            <v>250</v>
          </cell>
        </row>
        <row r="122">
          <cell r="C122" t="str">
            <v>96301AD363</v>
          </cell>
          <cell r="D122">
            <v>1</v>
          </cell>
          <cell r="E122">
            <v>0</v>
          </cell>
          <cell r="F122">
            <v>513</v>
          </cell>
          <cell r="G122" t="str">
            <v>D/M</v>
          </cell>
          <cell r="H122" t="str">
            <v>G160</v>
          </cell>
          <cell r="I122">
            <v>250</v>
          </cell>
        </row>
        <row r="123">
          <cell r="C123" t="str">
            <v>96301AD364</v>
          </cell>
          <cell r="D123">
            <v>1</v>
          </cell>
          <cell r="E123">
            <v>0</v>
          </cell>
          <cell r="F123">
            <v>513</v>
          </cell>
          <cell r="G123" t="str">
            <v>D/M</v>
          </cell>
          <cell r="H123" t="str">
            <v>G160</v>
          </cell>
          <cell r="I123">
            <v>250</v>
          </cell>
        </row>
        <row r="124">
          <cell r="C124" t="str">
            <v>96301AD365</v>
          </cell>
          <cell r="D124">
            <v>1</v>
          </cell>
          <cell r="E124">
            <v>0</v>
          </cell>
          <cell r="F124">
            <v>513</v>
          </cell>
          <cell r="G124" t="str">
            <v>D/M</v>
          </cell>
          <cell r="H124" t="str">
            <v>G160</v>
          </cell>
          <cell r="I124">
            <v>250</v>
          </cell>
        </row>
        <row r="125">
          <cell r="C125" t="str">
            <v>96301AD366</v>
          </cell>
          <cell r="D125">
            <v>1</v>
          </cell>
          <cell r="E125">
            <v>0</v>
          </cell>
          <cell r="F125">
            <v>513</v>
          </cell>
          <cell r="G125" t="str">
            <v>D/M</v>
          </cell>
          <cell r="H125" t="str">
            <v>G160</v>
          </cell>
          <cell r="I125">
            <v>250</v>
          </cell>
        </row>
        <row r="126">
          <cell r="C126" t="str">
            <v>96301AD367</v>
          </cell>
          <cell r="D126">
            <v>1</v>
          </cell>
          <cell r="E126">
            <v>0</v>
          </cell>
          <cell r="F126">
            <v>513</v>
          </cell>
          <cell r="G126" t="str">
            <v>D/M</v>
          </cell>
          <cell r="H126" t="str">
            <v>G160</v>
          </cell>
          <cell r="I126">
            <v>250</v>
          </cell>
        </row>
        <row r="127">
          <cell r="C127" t="str">
            <v>96302AD000</v>
          </cell>
          <cell r="D127">
            <v>1</v>
          </cell>
          <cell r="E127">
            <v>0</v>
          </cell>
          <cell r="F127">
            <v>513</v>
          </cell>
          <cell r="G127" t="str">
            <v>D/M</v>
          </cell>
          <cell r="H127" t="str">
            <v>G150</v>
          </cell>
          <cell r="I127">
            <v>400</v>
          </cell>
        </row>
        <row r="128">
          <cell r="C128" t="str">
            <v>96302AD060</v>
          </cell>
          <cell r="D128">
            <v>1</v>
          </cell>
          <cell r="E128">
            <v>0</v>
          </cell>
          <cell r="F128">
            <v>513</v>
          </cell>
          <cell r="G128" t="str">
            <v>D/M</v>
          </cell>
          <cell r="H128" t="str">
            <v>G150</v>
          </cell>
          <cell r="I128">
            <v>400</v>
          </cell>
        </row>
        <row r="129">
          <cell r="C129" t="str">
            <v>96302AD100</v>
          </cell>
          <cell r="D129">
            <v>1</v>
          </cell>
          <cell r="E129">
            <v>0</v>
          </cell>
          <cell r="F129">
            <v>513</v>
          </cell>
          <cell r="G129" t="str">
            <v>D/M</v>
          </cell>
          <cell r="H129" t="str">
            <v>G150</v>
          </cell>
          <cell r="I129">
            <v>200</v>
          </cell>
        </row>
        <row r="130">
          <cell r="C130" t="str">
            <v>96302AD160</v>
          </cell>
          <cell r="D130">
            <v>1</v>
          </cell>
          <cell r="E130">
            <v>0</v>
          </cell>
          <cell r="F130">
            <v>513</v>
          </cell>
          <cell r="G130" t="str">
            <v>D/M</v>
          </cell>
          <cell r="H130" t="str">
            <v>G150</v>
          </cell>
          <cell r="I130">
            <v>200</v>
          </cell>
        </row>
        <row r="131">
          <cell r="C131" t="str">
            <v>96302AD200</v>
          </cell>
          <cell r="D131">
            <v>1</v>
          </cell>
          <cell r="E131">
            <v>0</v>
          </cell>
          <cell r="F131">
            <v>513</v>
          </cell>
          <cell r="G131" t="str">
            <v>DD/M</v>
          </cell>
          <cell r="H131" t="str">
            <v>G160</v>
          </cell>
          <cell r="I131">
            <v>2600</v>
          </cell>
        </row>
        <row r="132">
          <cell r="C132" t="str">
            <v>96302AD201</v>
          </cell>
          <cell r="D132">
            <v>1</v>
          </cell>
          <cell r="E132">
            <v>0</v>
          </cell>
          <cell r="F132">
            <v>513</v>
          </cell>
          <cell r="G132" t="str">
            <v>DD/M</v>
          </cell>
          <cell r="H132" t="str">
            <v>G160</v>
          </cell>
          <cell r="I132">
            <v>350</v>
          </cell>
        </row>
        <row r="133">
          <cell r="C133" t="str">
            <v>96302AD202</v>
          </cell>
          <cell r="D133">
            <v>1</v>
          </cell>
          <cell r="E133">
            <v>0</v>
          </cell>
          <cell r="F133">
            <v>513</v>
          </cell>
          <cell r="G133" t="str">
            <v>DD/M</v>
          </cell>
          <cell r="H133" t="str">
            <v>G160</v>
          </cell>
          <cell r="I133">
            <v>350</v>
          </cell>
        </row>
        <row r="134">
          <cell r="C134" t="str">
            <v>96302AD203</v>
          </cell>
          <cell r="D134">
            <v>1</v>
          </cell>
          <cell r="E134">
            <v>0</v>
          </cell>
          <cell r="F134">
            <v>513</v>
          </cell>
          <cell r="G134" t="str">
            <v>DD/M</v>
          </cell>
          <cell r="H134" t="str">
            <v>G160</v>
          </cell>
          <cell r="I134">
            <v>350</v>
          </cell>
        </row>
        <row r="135">
          <cell r="C135" t="str">
            <v>96302AD204</v>
          </cell>
          <cell r="D135">
            <v>1</v>
          </cell>
          <cell r="E135">
            <v>0</v>
          </cell>
          <cell r="F135">
            <v>513</v>
          </cell>
          <cell r="G135" t="str">
            <v>DD/M</v>
          </cell>
          <cell r="H135" t="str">
            <v>G160</v>
          </cell>
          <cell r="I135">
            <v>350</v>
          </cell>
        </row>
        <row r="136">
          <cell r="C136" t="str">
            <v>96302AD205</v>
          </cell>
          <cell r="D136">
            <v>1</v>
          </cell>
          <cell r="E136">
            <v>0</v>
          </cell>
          <cell r="F136">
            <v>513</v>
          </cell>
          <cell r="G136" t="str">
            <v>D/M</v>
          </cell>
          <cell r="H136" t="str">
            <v>G160</v>
          </cell>
          <cell r="I136">
            <v>10</v>
          </cell>
        </row>
        <row r="137">
          <cell r="C137" t="str">
            <v>96302AD206</v>
          </cell>
          <cell r="D137">
            <v>1</v>
          </cell>
          <cell r="E137">
            <v>0</v>
          </cell>
          <cell r="F137">
            <v>513</v>
          </cell>
          <cell r="G137" t="str">
            <v>DD/M</v>
          </cell>
          <cell r="H137" t="str">
            <v>G160</v>
          </cell>
          <cell r="I137">
            <v>350</v>
          </cell>
        </row>
        <row r="138">
          <cell r="C138" t="str">
            <v>96302AD207</v>
          </cell>
          <cell r="D138">
            <v>1</v>
          </cell>
          <cell r="E138">
            <v>0</v>
          </cell>
          <cell r="F138">
            <v>513</v>
          </cell>
          <cell r="G138" t="str">
            <v>DD/M</v>
          </cell>
          <cell r="H138" t="str">
            <v>G160</v>
          </cell>
          <cell r="I138">
            <v>350</v>
          </cell>
        </row>
        <row r="139">
          <cell r="C139" t="str">
            <v>96302AD260</v>
          </cell>
          <cell r="D139">
            <v>1</v>
          </cell>
          <cell r="E139">
            <v>0</v>
          </cell>
          <cell r="F139">
            <v>513</v>
          </cell>
          <cell r="G139" t="str">
            <v>D/M</v>
          </cell>
          <cell r="H139" t="str">
            <v>G160</v>
          </cell>
          <cell r="I139">
            <v>2500</v>
          </cell>
        </row>
        <row r="140">
          <cell r="C140" t="str">
            <v>96302AD261</v>
          </cell>
          <cell r="D140">
            <v>1</v>
          </cell>
          <cell r="E140">
            <v>0</v>
          </cell>
          <cell r="F140">
            <v>513</v>
          </cell>
          <cell r="G140" t="str">
            <v>D/M</v>
          </cell>
          <cell r="H140" t="str">
            <v>G160</v>
          </cell>
          <cell r="I140">
            <v>300</v>
          </cell>
        </row>
        <row r="141">
          <cell r="C141" t="str">
            <v>96302AD262</v>
          </cell>
          <cell r="D141">
            <v>1</v>
          </cell>
          <cell r="E141">
            <v>0</v>
          </cell>
          <cell r="F141">
            <v>513</v>
          </cell>
          <cell r="G141" t="str">
            <v>D/M</v>
          </cell>
          <cell r="H141" t="str">
            <v>G160</v>
          </cell>
          <cell r="I141">
            <v>300</v>
          </cell>
        </row>
        <row r="142">
          <cell r="C142" t="str">
            <v>96302AD263</v>
          </cell>
          <cell r="D142">
            <v>1</v>
          </cell>
          <cell r="E142">
            <v>0</v>
          </cell>
          <cell r="F142">
            <v>513</v>
          </cell>
          <cell r="G142" t="str">
            <v>D/M</v>
          </cell>
          <cell r="H142" t="str">
            <v>G160</v>
          </cell>
          <cell r="I142">
            <v>300</v>
          </cell>
        </row>
        <row r="143">
          <cell r="C143" t="str">
            <v>96302AD264</v>
          </cell>
          <cell r="D143">
            <v>1</v>
          </cell>
          <cell r="E143">
            <v>0</v>
          </cell>
          <cell r="F143">
            <v>513</v>
          </cell>
          <cell r="G143" t="str">
            <v>D/M</v>
          </cell>
          <cell r="H143" t="str">
            <v>G160</v>
          </cell>
          <cell r="I143">
            <v>300</v>
          </cell>
        </row>
        <row r="144">
          <cell r="C144" t="str">
            <v>96302AD265</v>
          </cell>
          <cell r="D144">
            <v>1</v>
          </cell>
          <cell r="E144">
            <v>0</v>
          </cell>
          <cell r="F144">
            <v>513</v>
          </cell>
          <cell r="G144" t="str">
            <v>D/M</v>
          </cell>
          <cell r="H144" t="str">
            <v>G160</v>
          </cell>
          <cell r="I144">
            <v>300</v>
          </cell>
        </row>
        <row r="145">
          <cell r="C145" t="str">
            <v>96302AD266</v>
          </cell>
          <cell r="D145">
            <v>1</v>
          </cell>
          <cell r="E145">
            <v>0</v>
          </cell>
          <cell r="F145">
            <v>513</v>
          </cell>
          <cell r="G145" t="str">
            <v>D/M</v>
          </cell>
          <cell r="H145" t="str">
            <v>G160</v>
          </cell>
          <cell r="I145">
            <v>300</v>
          </cell>
        </row>
        <row r="146">
          <cell r="C146" t="str">
            <v>96302AD267</v>
          </cell>
          <cell r="D146">
            <v>1</v>
          </cell>
          <cell r="E146">
            <v>0</v>
          </cell>
          <cell r="F146">
            <v>513</v>
          </cell>
          <cell r="G146" t="str">
            <v>D/M</v>
          </cell>
          <cell r="H146" t="str">
            <v>G160</v>
          </cell>
          <cell r="I146">
            <v>300</v>
          </cell>
        </row>
        <row r="147">
          <cell r="C147" t="str">
            <v>96302AD300</v>
          </cell>
          <cell r="D147">
            <v>1</v>
          </cell>
          <cell r="E147">
            <v>0</v>
          </cell>
          <cell r="F147">
            <v>513</v>
          </cell>
          <cell r="G147" t="str">
            <v>DD/M</v>
          </cell>
          <cell r="H147" t="str">
            <v>G160</v>
          </cell>
          <cell r="I147">
            <v>2000</v>
          </cell>
        </row>
        <row r="148">
          <cell r="C148" t="str">
            <v>96302AD301</v>
          </cell>
          <cell r="D148">
            <v>1</v>
          </cell>
          <cell r="E148">
            <v>0</v>
          </cell>
          <cell r="F148">
            <v>513</v>
          </cell>
          <cell r="G148" t="str">
            <v>DD/M</v>
          </cell>
          <cell r="H148" t="str">
            <v>G160</v>
          </cell>
          <cell r="I148">
            <v>280</v>
          </cell>
        </row>
        <row r="149">
          <cell r="C149" t="str">
            <v>96302AD302</v>
          </cell>
          <cell r="D149">
            <v>1</v>
          </cell>
          <cell r="E149">
            <v>0</v>
          </cell>
          <cell r="F149">
            <v>513</v>
          </cell>
          <cell r="G149" t="str">
            <v>DD/M</v>
          </cell>
          <cell r="H149" t="str">
            <v>G160</v>
          </cell>
          <cell r="I149">
            <v>280</v>
          </cell>
        </row>
        <row r="150">
          <cell r="C150" t="str">
            <v>96302AD303</v>
          </cell>
          <cell r="D150">
            <v>1</v>
          </cell>
          <cell r="E150">
            <v>0</v>
          </cell>
          <cell r="F150">
            <v>513</v>
          </cell>
          <cell r="G150" t="str">
            <v>DD/M</v>
          </cell>
          <cell r="H150" t="str">
            <v>G160</v>
          </cell>
          <cell r="I150">
            <v>280</v>
          </cell>
        </row>
        <row r="151">
          <cell r="C151" t="str">
            <v>96302AD304</v>
          </cell>
          <cell r="D151">
            <v>1</v>
          </cell>
          <cell r="E151">
            <v>0</v>
          </cell>
          <cell r="F151">
            <v>513</v>
          </cell>
          <cell r="G151" t="str">
            <v>DD/M</v>
          </cell>
          <cell r="H151" t="str">
            <v>G160</v>
          </cell>
          <cell r="I151">
            <v>280</v>
          </cell>
        </row>
        <row r="152">
          <cell r="C152" t="str">
            <v>96302AD305</v>
          </cell>
          <cell r="D152">
            <v>1</v>
          </cell>
          <cell r="E152">
            <v>0</v>
          </cell>
          <cell r="F152">
            <v>513</v>
          </cell>
          <cell r="G152" t="str">
            <v>D/M</v>
          </cell>
          <cell r="H152" t="str">
            <v>G160</v>
          </cell>
          <cell r="I152">
            <v>10</v>
          </cell>
        </row>
        <row r="153">
          <cell r="C153" t="str">
            <v>96302AD306</v>
          </cell>
          <cell r="D153">
            <v>1</v>
          </cell>
          <cell r="E153">
            <v>0</v>
          </cell>
          <cell r="F153">
            <v>513</v>
          </cell>
          <cell r="G153" t="str">
            <v>DD/M</v>
          </cell>
          <cell r="H153" t="str">
            <v>G160</v>
          </cell>
          <cell r="I153">
            <v>280</v>
          </cell>
        </row>
        <row r="154">
          <cell r="C154" t="str">
            <v>96302AD307</v>
          </cell>
          <cell r="D154">
            <v>1</v>
          </cell>
          <cell r="E154">
            <v>0</v>
          </cell>
          <cell r="F154">
            <v>513</v>
          </cell>
          <cell r="G154" t="str">
            <v>DD/M</v>
          </cell>
          <cell r="H154" t="str">
            <v>G160</v>
          </cell>
          <cell r="I154">
            <v>280</v>
          </cell>
        </row>
        <row r="155">
          <cell r="C155" t="str">
            <v>96302AD360</v>
          </cell>
          <cell r="D155">
            <v>1</v>
          </cell>
          <cell r="E155">
            <v>0</v>
          </cell>
          <cell r="F155">
            <v>513</v>
          </cell>
          <cell r="G155" t="str">
            <v>D/M</v>
          </cell>
          <cell r="H155" t="str">
            <v>G160</v>
          </cell>
          <cell r="I155">
            <v>250</v>
          </cell>
        </row>
        <row r="156">
          <cell r="C156" t="str">
            <v>96302AD361</v>
          </cell>
          <cell r="D156">
            <v>1</v>
          </cell>
          <cell r="E156">
            <v>0</v>
          </cell>
          <cell r="F156">
            <v>513</v>
          </cell>
          <cell r="G156" t="str">
            <v>D/M</v>
          </cell>
          <cell r="H156" t="str">
            <v>G160</v>
          </cell>
          <cell r="I156">
            <v>250</v>
          </cell>
        </row>
        <row r="157">
          <cell r="C157" t="str">
            <v>96302AD362</v>
          </cell>
          <cell r="D157">
            <v>1</v>
          </cell>
          <cell r="E157">
            <v>0</v>
          </cell>
          <cell r="F157">
            <v>513</v>
          </cell>
          <cell r="G157" t="str">
            <v>D/M</v>
          </cell>
          <cell r="H157" t="str">
            <v>G160</v>
          </cell>
          <cell r="I157">
            <v>250</v>
          </cell>
        </row>
        <row r="158">
          <cell r="C158" t="str">
            <v>96302AD363</v>
          </cell>
          <cell r="D158">
            <v>1</v>
          </cell>
          <cell r="E158">
            <v>0</v>
          </cell>
          <cell r="F158">
            <v>513</v>
          </cell>
          <cell r="G158" t="str">
            <v>D/M</v>
          </cell>
          <cell r="H158" t="str">
            <v>G160</v>
          </cell>
          <cell r="I158">
            <v>250</v>
          </cell>
        </row>
        <row r="159">
          <cell r="C159" t="str">
            <v>96302AD364</v>
          </cell>
          <cell r="D159">
            <v>1</v>
          </cell>
          <cell r="E159">
            <v>0</v>
          </cell>
          <cell r="F159">
            <v>513</v>
          </cell>
          <cell r="G159" t="str">
            <v>D/M</v>
          </cell>
          <cell r="H159" t="str">
            <v>G160</v>
          </cell>
          <cell r="I159">
            <v>250</v>
          </cell>
        </row>
        <row r="160">
          <cell r="C160" t="str">
            <v>96302AD365</v>
          </cell>
          <cell r="D160">
            <v>1</v>
          </cell>
          <cell r="E160">
            <v>0</v>
          </cell>
          <cell r="F160">
            <v>513</v>
          </cell>
          <cell r="G160" t="str">
            <v>D/M</v>
          </cell>
          <cell r="H160" t="str">
            <v>G160</v>
          </cell>
          <cell r="I160">
            <v>250</v>
          </cell>
        </row>
        <row r="161">
          <cell r="C161" t="str">
            <v>96302AD366</v>
          </cell>
          <cell r="D161">
            <v>1</v>
          </cell>
          <cell r="E161">
            <v>0</v>
          </cell>
          <cell r="F161">
            <v>513</v>
          </cell>
          <cell r="G161" t="str">
            <v>D/M</v>
          </cell>
          <cell r="H161" t="str">
            <v>G160</v>
          </cell>
          <cell r="I161">
            <v>250</v>
          </cell>
        </row>
        <row r="162">
          <cell r="C162" t="str">
            <v>96302AD367</v>
          </cell>
          <cell r="D162">
            <v>1</v>
          </cell>
          <cell r="E162">
            <v>0</v>
          </cell>
          <cell r="F162">
            <v>513</v>
          </cell>
          <cell r="G162" t="str">
            <v>D/M</v>
          </cell>
          <cell r="H162" t="str">
            <v>G160</v>
          </cell>
          <cell r="I162">
            <v>250</v>
          </cell>
        </row>
        <row r="163">
          <cell r="C163" t="str">
            <v>96312AD000</v>
          </cell>
          <cell r="D163">
            <v>1</v>
          </cell>
          <cell r="E163">
            <v>0</v>
          </cell>
          <cell r="F163">
            <v>513</v>
          </cell>
          <cell r="G163" t="str">
            <v>C0VER</v>
          </cell>
          <cell r="H163" t="str">
            <v>G159</v>
          </cell>
          <cell r="I163">
            <v>400</v>
          </cell>
        </row>
        <row r="164">
          <cell r="C164" t="str">
            <v>96312AD200</v>
          </cell>
          <cell r="D164">
            <v>1</v>
          </cell>
          <cell r="E164">
            <v>0</v>
          </cell>
          <cell r="F164">
            <v>513</v>
          </cell>
          <cell r="G164" t="str">
            <v>C0VER</v>
          </cell>
          <cell r="H164" t="str">
            <v>G169</v>
          </cell>
          <cell r="I164">
            <v>4600</v>
          </cell>
        </row>
        <row r="165">
          <cell r="C165" t="str">
            <v>96312AD201</v>
          </cell>
          <cell r="D165">
            <v>1</v>
          </cell>
          <cell r="E165">
            <v>0</v>
          </cell>
          <cell r="F165">
            <v>513</v>
          </cell>
          <cell r="G165" t="str">
            <v>C0VER</v>
          </cell>
          <cell r="H165" t="str">
            <v>G169</v>
          </cell>
          <cell r="I165">
            <v>700</v>
          </cell>
        </row>
        <row r="166">
          <cell r="C166" t="str">
            <v>96312AD202</v>
          </cell>
          <cell r="D166">
            <v>1</v>
          </cell>
          <cell r="E166">
            <v>0</v>
          </cell>
          <cell r="F166">
            <v>513</v>
          </cell>
          <cell r="G166" t="str">
            <v>C0VER</v>
          </cell>
          <cell r="H166" t="str">
            <v>G169</v>
          </cell>
          <cell r="I166">
            <v>700</v>
          </cell>
        </row>
        <row r="167">
          <cell r="C167" t="str">
            <v>96312AD203</v>
          </cell>
          <cell r="D167">
            <v>1</v>
          </cell>
          <cell r="E167">
            <v>0</v>
          </cell>
          <cell r="F167">
            <v>513</v>
          </cell>
          <cell r="G167" t="str">
            <v>C0VER</v>
          </cell>
          <cell r="H167" t="str">
            <v>G169</v>
          </cell>
          <cell r="I167">
            <v>700</v>
          </cell>
        </row>
        <row r="168">
          <cell r="C168" t="str">
            <v>96312AD204</v>
          </cell>
          <cell r="D168">
            <v>1</v>
          </cell>
          <cell r="E168">
            <v>0</v>
          </cell>
          <cell r="F168">
            <v>513</v>
          </cell>
          <cell r="G168" t="str">
            <v>C0VER</v>
          </cell>
          <cell r="H168" t="str">
            <v>G169</v>
          </cell>
          <cell r="I168">
            <v>700</v>
          </cell>
        </row>
        <row r="169">
          <cell r="C169" t="str">
            <v>96312AD205</v>
          </cell>
          <cell r="D169">
            <v>1</v>
          </cell>
          <cell r="E169">
            <v>0</v>
          </cell>
          <cell r="F169">
            <v>513</v>
          </cell>
          <cell r="G169" t="str">
            <v>C0VER</v>
          </cell>
          <cell r="H169" t="str">
            <v>G169</v>
          </cell>
          <cell r="I169">
            <v>20</v>
          </cell>
        </row>
        <row r="170">
          <cell r="C170" t="str">
            <v>96312AD206</v>
          </cell>
          <cell r="D170">
            <v>1</v>
          </cell>
          <cell r="E170">
            <v>0</v>
          </cell>
          <cell r="F170">
            <v>513</v>
          </cell>
          <cell r="G170" t="str">
            <v>C0VER</v>
          </cell>
          <cell r="H170" t="str">
            <v>G169</v>
          </cell>
          <cell r="I170">
            <v>700</v>
          </cell>
        </row>
        <row r="171">
          <cell r="C171" t="str">
            <v>96312AD207</v>
          </cell>
          <cell r="D171">
            <v>1</v>
          </cell>
          <cell r="E171">
            <v>0</v>
          </cell>
          <cell r="F171">
            <v>513</v>
          </cell>
          <cell r="G171" t="str">
            <v>C0VER</v>
          </cell>
          <cell r="H171" t="str">
            <v>G169</v>
          </cell>
          <cell r="I171">
            <v>700</v>
          </cell>
        </row>
        <row r="172">
          <cell r="C172" t="str">
            <v>96313AD000</v>
          </cell>
          <cell r="D172">
            <v>1</v>
          </cell>
          <cell r="E172">
            <v>0</v>
          </cell>
          <cell r="F172">
            <v>513</v>
          </cell>
          <cell r="G172" t="str">
            <v>C0VER</v>
          </cell>
          <cell r="H172" t="str">
            <v>G159</v>
          </cell>
          <cell r="I172">
            <v>400</v>
          </cell>
        </row>
        <row r="173">
          <cell r="C173" t="str">
            <v>96313AD200</v>
          </cell>
          <cell r="D173">
            <v>1</v>
          </cell>
          <cell r="E173">
            <v>0</v>
          </cell>
          <cell r="F173">
            <v>513</v>
          </cell>
          <cell r="G173" t="str">
            <v>C0VER</v>
          </cell>
          <cell r="H173" t="str">
            <v>G169</v>
          </cell>
          <cell r="I173">
            <v>4600</v>
          </cell>
        </row>
        <row r="174">
          <cell r="C174" t="str">
            <v>96313AD201</v>
          </cell>
          <cell r="D174">
            <v>1</v>
          </cell>
          <cell r="E174">
            <v>0</v>
          </cell>
          <cell r="F174">
            <v>513</v>
          </cell>
          <cell r="G174" t="str">
            <v>C0VER</v>
          </cell>
          <cell r="H174" t="str">
            <v>G169</v>
          </cell>
          <cell r="I174">
            <v>700</v>
          </cell>
        </row>
        <row r="175">
          <cell r="C175" t="str">
            <v>96313AD202</v>
          </cell>
          <cell r="D175">
            <v>1</v>
          </cell>
          <cell r="E175">
            <v>0</v>
          </cell>
          <cell r="F175">
            <v>513</v>
          </cell>
          <cell r="G175" t="str">
            <v>C0VER</v>
          </cell>
          <cell r="H175" t="str">
            <v>G169</v>
          </cell>
          <cell r="I175">
            <v>700</v>
          </cell>
        </row>
        <row r="176">
          <cell r="C176" t="str">
            <v>96313AD203</v>
          </cell>
          <cell r="D176">
            <v>1</v>
          </cell>
          <cell r="E176">
            <v>0</v>
          </cell>
          <cell r="F176">
            <v>513</v>
          </cell>
          <cell r="G176" t="str">
            <v>C0VER</v>
          </cell>
          <cell r="H176" t="str">
            <v>G169</v>
          </cell>
          <cell r="I176">
            <v>700</v>
          </cell>
        </row>
        <row r="177">
          <cell r="C177" t="str">
            <v>96313AD204</v>
          </cell>
          <cell r="D177">
            <v>1</v>
          </cell>
          <cell r="E177">
            <v>0</v>
          </cell>
          <cell r="F177">
            <v>513</v>
          </cell>
          <cell r="G177" t="str">
            <v>C0VER</v>
          </cell>
          <cell r="H177" t="str">
            <v>G169</v>
          </cell>
          <cell r="I177">
            <v>700</v>
          </cell>
        </row>
        <row r="178">
          <cell r="C178" t="str">
            <v>96313AD205</v>
          </cell>
          <cell r="D178">
            <v>1</v>
          </cell>
          <cell r="E178">
            <v>0</v>
          </cell>
          <cell r="F178">
            <v>513</v>
          </cell>
          <cell r="G178" t="str">
            <v>C0VER</v>
          </cell>
          <cell r="H178" t="str">
            <v>G169</v>
          </cell>
          <cell r="I178">
            <v>20</v>
          </cell>
        </row>
        <row r="179">
          <cell r="C179" t="str">
            <v>96313AD206</v>
          </cell>
          <cell r="D179">
            <v>1</v>
          </cell>
          <cell r="E179">
            <v>0</v>
          </cell>
          <cell r="F179">
            <v>513</v>
          </cell>
          <cell r="G179" t="str">
            <v>C0VER</v>
          </cell>
          <cell r="H179" t="str">
            <v>G169</v>
          </cell>
          <cell r="I179">
            <v>700</v>
          </cell>
        </row>
        <row r="180">
          <cell r="C180" t="str">
            <v>96313AD207</v>
          </cell>
          <cell r="D180">
            <v>1</v>
          </cell>
          <cell r="E180">
            <v>0</v>
          </cell>
          <cell r="F180">
            <v>513</v>
          </cell>
          <cell r="G180" t="str">
            <v>C0VER</v>
          </cell>
          <cell r="H180" t="str">
            <v>G169</v>
          </cell>
          <cell r="I180">
            <v>700</v>
          </cell>
        </row>
        <row r="181">
          <cell r="C181" t="str">
            <v>96321AD010</v>
          </cell>
          <cell r="D181">
            <v>1</v>
          </cell>
          <cell r="E181">
            <v>0</v>
          </cell>
          <cell r="F181">
            <v>563</v>
          </cell>
          <cell r="G181" t="str">
            <v>GP/M</v>
          </cell>
          <cell r="H181" t="str">
            <v>H100</v>
          </cell>
          <cell r="I181">
            <v>2500</v>
          </cell>
        </row>
        <row r="182">
          <cell r="C182" t="str">
            <v>96321VE000</v>
          </cell>
          <cell r="D182">
            <v>3</v>
          </cell>
          <cell r="E182">
            <v>0</v>
          </cell>
          <cell r="F182">
            <v>563</v>
          </cell>
          <cell r="G182" t="str">
            <v>GP/M</v>
          </cell>
          <cell r="H182" t="str">
            <v>H100</v>
          </cell>
          <cell r="I182">
            <v>2500</v>
          </cell>
        </row>
        <row r="183">
          <cell r="C183" t="str">
            <v>9632861L00</v>
          </cell>
          <cell r="D183">
            <v>2</v>
          </cell>
          <cell r="E183">
            <v>0</v>
          </cell>
          <cell r="F183">
            <v>563</v>
          </cell>
          <cell r="G183" t="str">
            <v>RUB</v>
          </cell>
          <cell r="H183">
            <v>0</v>
          </cell>
          <cell r="I183">
            <v>5000</v>
          </cell>
        </row>
        <row r="184">
          <cell r="C184" t="str">
            <v>963293J101</v>
          </cell>
          <cell r="D184">
            <v>2</v>
          </cell>
          <cell r="E184">
            <v>0</v>
          </cell>
          <cell r="F184">
            <v>563</v>
          </cell>
          <cell r="G184" t="str">
            <v>C0VER</v>
          </cell>
          <cell r="H184">
            <v>0</v>
          </cell>
          <cell r="I184">
            <v>2500</v>
          </cell>
        </row>
        <row r="185">
          <cell r="C185" t="str">
            <v>96329AD010</v>
          </cell>
          <cell r="D185">
            <v>1</v>
          </cell>
          <cell r="E185">
            <v>0</v>
          </cell>
          <cell r="F185">
            <v>563</v>
          </cell>
          <cell r="G185" t="str">
            <v>C0VER</v>
          </cell>
          <cell r="H185" t="str">
            <v>H109</v>
          </cell>
          <cell r="I185">
            <v>2500</v>
          </cell>
        </row>
        <row r="186">
          <cell r="C186" t="str">
            <v>96340AD000</v>
          </cell>
          <cell r="D186">
            <v>1</v>
          </cell>
          <cell r="E186">
            <v>0</v>
          </cell>
          <cell r="F186">
            <v>513</v>
          </cell>
          <cell r="G186" t="str">
            <v>RRU/M</v>
          </cell>
          <cell r="H186" t="str">
            <v>G010</v>
          </cell>
          <cell r="I186">
            <v>100</v>
          </cell>
        </row>
        <row r="187">
          <cell r="C187" t="str">
            <v>96340AD100</v>
          </cell>
          <cell r="D187">
            <v>1</v>
          </cell>
          <cell r="E187">
            <v>0</v>
          </cell>
          <cell r="F187">
            <v>513</v>
          </cell>
          <cell r="G187" t="str">
            <v>RRU/M</v>
          </cell>
          <cell r="H187" t="str">
            <v>G010</v>
          </cell>
          <cell r="I187">
            <v>100</v>
          </cell>
        </row>
        <row r="188">
          <cell r="C188" t="str">
            <v>96520AD000</v>
          </cell>
          <cell r="D188">
            <v>1</v>
          </cell>
          <cell r="E188">
            <v>0</v>
          </cell>
          <cell r="F188">
            <v>644</v>
          </cell>
          <cell r="G188" t="str">
            <v>A/T</v>
          </cell>
          <cell r="H188" t="str">
            <v>L010</v>
          </cell>
          <cell r="I188">
            <v>4000</v>
          </cell>
        </row>
        <row r="189">
          <cell r="C189" t="str">
            <v>96520AD001</v>
          </cell>
          <cell r="D189">
            <v>1</v>
          </cell>
          <cell r="E189">
            <v>0</v>
          </cell>
          <cell r="F189">
            <v>644</v>
          </cell>
          <cell r="G189" t="str">
            <v>A/T</v>
          </cell>
          <cell r="H189" t="str">
            <v>L010</v>
          </cell>
          <cell r="I189">
            <v>3000</v>
          </cell>
        </row>
        <row r="190">
          <cell r="C190" t="str">
            <v>96520AD002</v>
          </cell>
          <cell r="D190">
            <v>1</v>
          </cell>
          <cell r="E190">
            <v>0</v>
          </cell>
          <cell r="F190">
            <v>644</v>
          </cell>
          <cell r="G190" t="str">
            <v>A/T</v>
          </cell>
          <cell r="H190" t="str">
            <v>L010</v>
          </cell>
          <cell r="I190">
            <v>3000</v>
          </cell>
        </row>
        <row r="191">
          <cell r="C191" t="str">
            <v>260109V000</v>
          </cell>
          <cell r="D191">
            <v>2</v>
          </cell>
          <cell r="E191">
            <v>0</v>
          </cell>
          <cell r="F191">
            <v>151</v>
          </cell>
          <cell r="G191" t="str">
            <v>H/L</v>
          </cell>
          <cell r="H191" t="str">
            <v>A190</v>
          </cell>
          <cell r="I191">
            <v>40</v>
          </cell>
        </row>
        <row r="192">
          <cell r="C192" t="str">
            <v>260609V000</v>
          </cell>
          <cell r="D192">
            <v>2</v>
          </cell>
          <cell r="E192">
            <v>0</v>
          </cell>
          <cell r="F192">
            <v>151</v>
          </cell>
          <cell r="G192" t="str">
            <v>H/L</v>
          </cell>
          <cell r="H192" t="str">
            <v>A190</v>
          </cell>
          <cell r="I192">
            <v>40</v>
          </cell>
        </row>
        <row r="193">
          <cell r="C193" t="str">
            <v>261172S400</v>
          </cell>
          <cell r="D193">
            <v>3</v>
          </cell>
          <cell r="E193">
            <v>0</v>
          </cell>
          <cell r="F193">
            <v>415</v>
          </cell>
          <cell r="G193" t="str">
            <v>H0LD</v>
          </cell>
          <cell r="H193" t="str">
            <v>B109</v>
          </cell>
          <cell r="I193">
            <v>80</v>
          </cell>
        </row>
        <row r="194">
          <cell r="C194" t="str">
            <v>261309V000</v>
          </cell>
          <cell r="D194">
            <v>2</v>
          </cell>
          <cell r="E194">
            <v>0</v>
          </cell>
          <cell r="F194">
            <v>411</v>
          </cell>
          <cell r="G194" t="str">
            <v>FTR/L</v>
          </cell>
          <cell r="H194" t="str">
            <v>B110</v>
          </cell>
          <cell r="I194">
            <v>40</v>
          </cell>
        </row>
        <row r="195">
          <cell r="C195" t="str">
            <v>261359V000</v>
          </cell>
          <cell r="D195">
            <v>2</v>
          </cell>
          <cell r="E195">
            <v>0</v>
          </cell>
          <cell r="F195">
            <v>411</v>
          </cell>
          <cell r="G195" t="str">
            <v>FTR/L</v>
          </cell>
          <cell r="H195" t="str">
            <v>B110</v>
          </cell>
          <cell r="I195">
            <v>40</v>
          </cell>
        </row>
        <row r="196">
          <cell r="C196" t="str">
            <v>2618062J00</v>
          </cell>
          <cell r="D196">
            <v>2</v>
          </cell>
          <cell r="E196">
            <v>0</v>
          </cell>
          <cell r="F196">
            <v>415</v>
          </cell>
          <cell r="G196" t="str">
            <v>FRSM/L</v>
          </cell>
          <cell r="H196">
            <v>0</v>
          </cell>
          <cell r="I196">
            <v>80</v>
          </cell>
        </row>
        <row r="197">
          <cell r="C197" t="str">
            <v>261909V000</v>
          </cell>
          <cell r="D197">
            <v>1</v>
          </cell>
          <cell r="E197">
            <v>0</v>
          </cell>
          <cell r="F197">
            <v>415</v>
          </cell>
          <cell r="G197" t="str">
            <v>RR SM/</v>
          </cell>
          <cell r="H197" t="str">
            <v>B210</v>
          </cell>
          <cell r="I197">
            <v>40</v>
          </cell>
        </row>
        <row r="198">
          <cell r="C198" t="str">
            <v>261959V000</v>
          </cell>
          <cell r="D198">
            <v>1</v>
          </cell>
          <cell r="E198">
            <v>0</v>
          </cell>
          <cell r="F198">
            <v>415</v>
          </cell>
          <cell r="G198" t="str">
            <v>RR SM/</v>
          </cell>
          <cell r="H198" t="str">
            <v>B210</v>
          </cell>
          <cell r="I198">
            <v>40</v>
          </cell>
        </row>
        <row r="199">
          <cell r="C199" t="str">
            <v>265509V000</v>
          </cell>
          <cell r="D199">
            <v>1</v>
          </cell>
          <cell r="E199">
            <v>0</v>
          </cell>
          <cell r="F199">
            <v>214</v>
          </cell>
          <cell r="G199" t="str">
            <v>RC/L</v>
          </cell>
          <cell r="H199" t="str">
            <v>B000</v>
          </cell>
          <cell r="I199">
            <v>40</v>
          </cell>
        </row>
        <row r="200">
          <cell r="C200" t="str">
            <v>265509V010</v>
          </cell>
          <cell r="D200">
            <v>1</v>
          </cell>
          <cell r="E200">
            <v>0</v>
          </cell>
          <cell r="F200">
            <v>214</v>
          </cell>
          <cell r="G200" t="str">
            <v>RC/L</v>
          </cell>
          <cell r="H200" t="str">
            <v>B000</v>
          </cell>
          <cell r="I200">
            <v>40</v>
          </cell>
        </row>
        <row r="201">
          <cell r="C201" t="str">
            <v>265559V000</v>
          </cell>
          <cell r="D201">
            <v>1</v>
          </cell>
          <cell r="E201">
            <v>0</v>
          </cell>
          <cell r="F201">
            <v>214</v>
          </cell>
          <cell r="G201" t="str">
            <v>RC/L</v>
          </cell>
          <cell r="H201" t="str">
            <v>B000</v>
          </cell>
          <cell r="I201">
            <v>40</v>
          </cell>
        </row>
        <row r="202">
          <cell r="C202" t="str">
            <v>265559V010</v>
          </cell>
          <cell r="D202">
            <v>1</v>
          </cell>
          <cell r="E202">
            <v>0</v>
          </cell>
          <cell r="F202">
            <v>214</v>
          </cell>
          <cell r="G202" t="str">
            <v>RC/L</v>
          </cell>
          <cell r="H202" t="str">
            <v>B000</v>
          </cell>
          <cell r="I202">
            <v>40</v>
          </cell>
        </row>
        <row r="203">
          <cell r="C203" t="str">
            <v>260104M400</v>
          </cell>
          <cell r="D203">
            <v>1</v>
          </cell>
          <cell r="E203">
            <v>0</v>
          </cell>
          <cell r="F203">
            <v>151</v>
          </cell>
          <cell r="G203" t="str">
            <v>H/L</v>
          </cell>
          <cell r="H203" t="str">
            <v>A190</v>
          </cell>
          <cell r="I203">
            <v>5500</v>
          </cell>
        </row>
        <row r="204">
          <cell r="C204" t="str">
            <v>260104M405</v>
          </cell>
          <cell r="D204">
            <v>1</v>
          </cell>
          <cell r="E204">
            <v>0</v>
          </cell>
          <cell r="F204">
            <v>151</v>
          </cell>
          <cell r="G204" t="str">
            <v>H/L</v>
          </cell>
          <cell r="H204" t="str">
            <v>A190</v>
          </cell>
          <cell r="I204">
            <v>500</v>
          </cell>
        </row>
        <row r="205">
          <cell r="C205" t="str">
            <v>260604M400</v>
          </cell>
          <cell r="D205">
            <v>1</v>
          </cell>
          <cell r="E205">
            <v>0</v>
          </cell>
          <cell r="F205">
            <v>151</v>
          </cell>
          <cell r="G205" t="str">
            <v>H/L</v>
          </cell>
          <cell r="H205" t="str">
            <v>A190</v>
          </cell>
          <cell r="I205">
            <v>5500</v>
          </cell>
        </row>
        <row r="206">
          <cell r="C206" t="str">
            <v>260604M405</v>
          </cell>
          <cell r="D206">
            <v>1</v>
          </cell>
          <cell r="E206">
            <v>0</v>
          </cell>
          <cell r="F206">
            <v>151</v>
          </cell>
          <cell r="G206" t="str">
            <v>H/L</v>
          </cell>
          <cell r="H206" t="str">
            <v>A190</v>
          </cell>
          <cell r="I206">
            <v>500</v>
          </cell>
        </row>
        <row r="207">
          <cell r="C207" t="str">
            <v>261204M400</v>
          </cell>
          <cell r="D207">
            <v>1</v>
          </cell>
          <cell r="E207">
            <v>0</v>
          </cell>
          <cell r="F207">
            <v>411</v>
          </cell>
          <cell r="G207" t="str">
            <v>FC/L</v>
          </cell>
          <cell r="H207" t="str">
            <v>B100</v>
          </cell>
          <cell r="I207">
            <v>5500</v>
          </cell>
        </row>
        <row r="208">
          <cell r="C208" t="str">
            <v>261204M405</v>
          </cell>
          <cell r="D208">
            <v>1</v>
          </cell>
          <cell r="E208">
            <v>0</v>
          </cell>
          <cell r="F208">
            <v>411</v>
          </cell>
          <cell r="G208" t="str">
            <v>FC/L</v>
          </cell>
          <cell r="H208" t="str">
            <v>B100</v>
          </cell>
          <cell r="I208">
            <v>500</v>
          </cell>
        </row>
        <row r="209">
          <cell r="C209" t="str">
            <v>261254M400</v>
          </cell>
          <cell r="D209">
            <v>1</v>
          </cell>
          <cell r="E209">
            <v>0</v>
          </cell>
          <cell r="F209">
            <v>411</v>
          </cell>
          <cell r="G209" t="str">
            <v>FC/L</v>
          </cell>
          <cell r="H209" t="str">
            <v>B100</v>
          </cell>
          <cell r="I209">
            <v>5500</v>
          </cell>
        </row>
        <row r="210">
          <cell r="C210" t="str">
            <v>261254M405</v>
          </cell>
          <cell r="D210">
            <v>1</v>
          </cell>
          <cell r="E210">
            <v>0</v>
          </cell>
          <cell r="F210">
            <v>411</v>
          </cell>
          <cell r="G210" t="str">
            <v>FC/L</v>
          </cell>
          <cell r="H210" t="str">
            <v>B100</v>
          </cell>
          <cell r="I210">
            <v>500</v>
          </cell>
        </row>
        <row r="211">
          <cell r="C211" t="str">
            <v>264100V000</v>
          </cell>
          <cell r="D211">
            <v>3</v>
          </cell>
          <cell r="E211">
            <v>0</v>
          </cell>
          <cell r="F211">
            <v>415</v>
          </cell>
          <cell r="G211" t="str">
            <v>R/L</v>
          </cell>
          <cell r="H211">
            <v>0</v>
          </cell>
          <cell r="I211">
            <v>3000</v>
          </cell>
        </row>
        <row r="212">
          <cell r="C212" t="str">
            <v>264104M400</v>
          </cell>
          <cell r="D212">
            <v>1</v>
          </cell>
          <cell r="E212">
            <v>0</v>
          </cell>
          <cell r="F212">
            <v>415</v>
          </cell>
          <cell r="G212" t="str">
            <v>R/L</v>
          </cell>
          <cell r="H212" t="str">
            <v>D100</v>
          </cell>
          <cell r="I212">
            <v>3000</v>
          </cell>
        </row>
        <row r="213">
          <cell r="C213" t="str">
            <v>264304M400</v>
          </cell>
          <cell r="D213">
            <v>1</v>
          </cell>
          <cell r="E213">
            <v>0</v>
          </cell>
          <cell r="F213">
            <v>415</v>
          </cell>
          <cell r="G213" t="str">
            <v>MAP/L</v>
          </cell>
          <cell r="H213" t="str">
            <v>E010</v>
          </cell>
          <cell r="I213">
            <v>240</v>
          </cell>
        </row>
        <row r="214">
          <cell r="C214" t="str">
            <v>264305L301</v>
          </cell>
          <cell r="D214">
            <v>3</v>
          </cell>
          <cell r="E214">
            <v>0</v>
          </cell>
          <cell r="F214">
            <v>415</v>
          </cell>
          <cell r="G214" t="str">
            <v>MAP/L</v>
          </cell>
          <cell r="H214">
            <v>0</v>
          </cell>
          <cell r="I214">
            <v>240</v>
          </cell>
        </row>
        <row r="215">
          <cell r="C215" t="str">
            <v>264305L301VC</v>
          </cell>
          <cell r="D215">
            <v>0</v>
          </cell>
          <cell r="E215">
            <v>0</v>
          </cell>
          <cell r="F215">
            <v>415</v>
          </cell>
          <cell r="G215" t="str">
            <v>MAP/L</v>
          </cell>
          <cell r="H215" t="str">
            <v>E010</v>
          </cell>
          <cell r="I215">
            <v>0</v>
          </cell>
        </row>
        <row r="216">
          <cell r="C216" t="str">
            <v>2647060U00</v>
          </cell>
          <cell r="D216">
            <v>3</v>
          </cell>
          <cell r="E216">
            <v>0</v>
          </cell>
          <cell r="F216">
            <v>415</v>
          </cell>
          <cell r="G216" t="str">
            <v>TKR/L</v>
          </cell>
          <cell r="H216">
            <v>0</v>
          </cell>
          <cell r="I216">
            <v>5400</v>
          </cell>
        </row>
        <row r="217">
          <cell r="C217" t="str">
            <v>265104M400</v>
          </cell>
          <cell r="D217">
            <v>1</v>
          </cell>
          <cell r="E217">
            <v>0</v>
          </cell>
          <cell r="F217">
            <v>415</v>
          </cell>
          <cell r="G217" t="str">
            <v>L/L</v>
          </cell>
          <cell r="H217" t="str">
            <v>D000</v>
          </cell>
          <cell r="I217">
            <v>6000</v>
          </cell>
        </row>
        <row r="218">
          <cell r="C218" t="str">
            <v>265504M400</v>
          </cell>
          <cell r="D218">
            <v>1</v>
          </cell>
          <cell r="E218">
            <v>0</v>
          </cell>
          <cell r="F218">
            <v>214</v>
          </cell>
          <cell r="G218" t="str">
            <v>R/L</v>
          </cell>
          <cell r="H218" t="str">
            <v>B000</v>
          </cell>
          <cell r="I218">
            <v>6000</v>
          </cell>
        </row>
        <row r="219">
          <cell r="C219" t="str">
            <v>265504M401</v>
          </cell>
          <cell r="D219">
            <v>1</v>
          </cell>
          <cell r="E219">
            <v>0</v>
          </cell>
          <cell r="F219">
            <v>214</v>
          </cell>
          <cell r="G219" t="str">
            <v>RC/L</v>
          </cell>
          <cell r="H219" t="str">
            <v>B070</v>
          </cell>
          <cell r="I219">
            <v>6000</v>
          </cell>
        </row>
        <row r="220">
          <cell r="C220" t="str">
            <v>265554M400</v>
          </cell>
          <cell r="D220">
            <v>1</v>
          </cell>
          <cell r="E220">
            <v>0</v>
          </cell>
          <cell r="F220">
            <v>214</v>
          </cell>
          <cell r="G220" t="str">
            <v>R/L</v>
          </cell>
          <cell r="H220" t="str">
            <v>B000</v>
          </cell>
          <cell r="I220">
            <v>6000</v>
          </cell>
        </row>
        <row r="221">
          <cell r="C221" t="str">
            <v>265554M401</v>
          </cell>
          <cell r="D221">
            <v>1</v>
          </cell>
          <cell r="E221">
            <v>0</v>
          </cell>
          <cell r="F221">
            <v>214</v>
          </cell>
          <cell r="G221" t="str">
            <v>RC/L</v>
          </cell>
          <cell r="H221" t="str">
            <v>B070</v>
          </cell>
          <cell r="I221">
            <v>6000</v>
          </cell>
        </row>
        <row r="222">
          <cell r="C222" t="str">
            <v>265904M400</v>
          </cell>
          <cell r="D222">
            <v>1</v>
          </cell>
          <cell r="E222" t="str">
            <v>C</v>
          </cell>
          <cell r="F222">
            <v>415</v>
          </cell>
          <cell r="G222" t="str">
            <v>HMS/L</v>
          </cell>
          <cell r="H222" t="str">
            <v>B050</v>
          </cell>
          <cell r="I222">
            <v>3000</v>
          </cell>
        </row>
        <row r="223">
          <cell r="C223" t="str">
            <v>265904M401</v>
          </cell>
          <cell r="D223">
            <v>1</v>
          </cell>
          <cell r="E223" t="str">
            <v>C</v>
          </cell>
          <cell r="F223">
            <v>415</v>
          </cell>
          <cell r="G223" t="str">
            <v>HMS/L</v>
          </cell>
          <cell r="H223" t="str">
            <v>B050</v>
          </cell>
          <cell r="I223">
            <v>3000</v>
          </cell>
        </row>
        <row r="224">
          <cell r="C224" t="str">
            <v>2888250J00</v>
          </cell>
          <cell r="D224">
            <v>3</v>
          </cell>
          <cell r="E224">
            <v>0</v>
          </cell>
          <cell r="F224">
            <v>714</v>
          </cell>
          <cell r="G224" t="str">
            <v>C0VER</v>
          </cell>
          <cell r="H224">
            <v>0</v>
          </cell>
          <cell r="I224">
            <v>12000</v>
          </cell>
        </row>
        <row r="225">
          <cell r="C225" t="str">
            <v>848104M400</v>
          </cell>
          <cell r="D225">
            <v>1</v>
          </cell>
          <cell r="E225">
            <v>0</v>
          </cell>
          <cell r="F225">
            <v>754</v>
          </cell>
          <cell r="G225" t="str">
            <v>R/F1N</v>
          </cell>
          <cell r="H225" t="str">
            <v>P010</v>
          </cell>
          <cell r="I225">
            <v>6000</v>
          </cell>
        </row>
        <row r="226">
          <cell r="C226" t="str">
            <v>963014M400</v>
          </cell>
          <cell r="D226">
            <v>1</v>
          </cell>
          <cell r="E226">
            <v>0</v>
          </cell>
          <cell r="F226">
            <v>513</v>
          </cell>
          <cell r="G226" t="str">
            <v>D/M</v>
          </cell>
          <cell r="H226" t="str">
            <v>G160</v>
          </cell>
          <cell r="I226">
            <v>2220</v>
          </cell>
        </row>
        <row r="227">
          <cell r="C227" t="str">
            <v>963014M410</v>
          </cell>
          <cell r="D227">
            <v>1</v>
          </cell>
          <cell r="E227">
            <v>0</v>
          </cell>
          <cell r="F227">
            <v>513</v>
          </cell>
          <cell r="G227" t="str">
            <v>D/M</v>
          </cell>
          <cell r="H227" t="str">
            <v>G160</v>
          </cell>
          <cell r="I227">
            <v>120</v>
          </cell>
        </row>
        <row r="228">
          <cell r="C228" t="str">
            <v>963014M460</v>
          </cell>
          <cell r="D228">
            <v>1</v>
          </cell>
          <cell r="E228">
            <v>0</v>
          </cell>
          <cell r="F228">
            <v>513</v>
          </cell>
          <cell r="G228" t="str">
            <v>D/M</v>
          </cell>
          <cell r="H228" t="str">
            <v>G160</v>
          </cell>
          <cell r="I228">
            <v>200</v>
          </cell>
        </row>
        <row r="229">
          <cell r="C229" t="str">
            <v>963014M470</v>
          </cell>
          <cell r="D229">
            <v>1</v>
          </cell>
          <cell r="E229">
            <v>0</v>
          </cell>
          <cell r="F229">
            <v>513</v>
          </cell>
          <cell r="G229" t="str">
            <v>D/M</v>
          </cell>
          <cell r="H229" t="str">
            <v>G160</v>
          </cell>
          <cell r="I229">
            <v>50</v>
          </cell>
        </row>
        <row r="230">
          <cell r="C230" t="str">
            <v>963015M600</v>
          </cell>
          <cell r="D230">
            <v>1</v>
          </cell>
          <cell r="E230">
            <v>0</v>
          </cell>
          <cell r="F230">
            <v>513</v>
          </cell>
          <cell r="G230" t="str">
            <v>D/M</v>
          </cell>
          <cell r="H230" t="str">
            <v>G110</v>
          </cell>
          <cell r="I230">
            <v>480</v>
          </cell>
        </row>
        <row r="231">
          <cell r="C231" t="str">
            <v>963015M620</v>
          </cell>
          <cell r="D231">
            <v>1</v>
          </cell>
          <cell r="E231">
            <v>0</v>
          </cell>
          <cell r="F231">
            <v>513</v>
          </cell>
          <cell r="G231" t="str">
            <v>F/M</v>
          </cell>
          <cell r="H231" t="str">
            <v>G150</v>
          </cell>
          <cell r="I231">
            <v>10</v>
          </cell>
        </row>
        <row r="232">
          <cell r="C232" t="str">
            <v>963015M700</v>
          </cell>
          <cell r="D232">
            <v>1</v>
          </cell>
          <cell r="E232">
            <v>0</v>
          </cell>
          <cell r="F232">
            <v>513</v>
          </cell>
          <cell r="G232" t="str">
            <v>D/M</v>
          </cell>
          <cell r="H232" t="str">
            <v>G150</v>
          </cell>
          <cell r="I232">
            <v>3020</v>
          </cell>
        </row>
        <row r="233">
          <cell r="C233" t="str">
            <v>963015M710</v>
          </cell>
          <cell r="D233">
            <v>1</v>
          </cell>
          <cell r="E233">
            <v>0</v>
          </cell>
          <cell r="F233">
            <v>513</v>
          </cell>
          <cell r="G233" t="str">
            <v>D/M</v>
          </cell>
          <cell r="H233" t="str">
            <v>G150</v>
          </cell>
          <cell r="I233">
            <v>160</v>
          </cell>
        </row>
        <row r="234">
          <cell r="C234" t="str">
            <v>963015M760</v>
          </cell>
          <cell r="D234">
            <v>1</v>
          </cell>
          <cell r="E234">
            <v>0</v>
          </cell>
          <cell r="F234">
            <v>513</v>
          </cell>
          <cell r="G234" t="str">
            <v>D/M</v>
          </cell>
          <cell r="H234" t="str">
            <v>G150</v>
          </cell>
          <cell r="I234">
            <v>300</v>
          </cell>
        </row>
        <row r="235">
          <cell r="C235" t="str">
            <v>963015M770</v>
          </cell>
          <cell r="D235">
            <v>1</v>
          </cell>
          <cell r="E235">
            <v>0</v>
          </cell>
          <cell r="F235">
            <v>513</v>
          </cell>
          <cell r="G235" t="str">
            <v>D/M</v>
          </cell>
          <cell r="H235" t="str">
            <v>G150</v>
          </cell>
          <cell r="I235">
            <v>50</v>
          </cell>
        </row>
        <row r="236">
          <cell r="C236" t="str">
            <v>963024M400</v>
          </cell>
          <cell r="D236">
            <v>1</v>
          </cell>
          <cell r="E236">
            <v>0</v>
          </cell>
          <cell r="F236">
            <v>513</v>
          </cell>
          <cell r="G236" t="str">
            <v>D/M</v>
          </cell>
          <cell r="H236" t="str">
            <v>G160</v>
          </cell>
          <cell r="I236">
            <v>2220</v>
          </cell>
        </row>
        <row r="237">
          <cell r="C237" t="str">
            <v>963024M410</v>
          </cell>
          <cell r="D237">
            <v>1</v>
          </cell>
          <cell r="E237">
            <v>0</v>
          </cell>
          <cell r="F237">
            <v>513</v>
          </cell>
          <cell r="G237" t="str">
            <v>D/M</v>
          </cell>
          <cell r="H237" t="str">
            <v>G160</v>
          </cell>
          <cell r="I237">
            <v>120</v>
          </cell>
        </row>
        <row r="238">
          <cell r="C238" t="str">
            <v>963024M460</v>
          </cell>
          <cell r="D238">
            <v>1</v>
          </cell>
          <cell r="E238">
            <v>0</v>
          </cell>
          <cell r="F238">
            <v>513</v>
          </cell>
          <cell r="G238" t="str">
            <v>D/M</v>
          </cell>
          <cell r="H238" t="str">
            <v>G160</v>
          </cell>
          <cell r="I238">
            <v>200</v>
          </cell>
        </row>
        <row r="239">
          <cell r="C239" t="str">
            <v>963024M470</v>
          </cell>
          <cell r="D239">
            <v>1</v>
          </cell>
          <cell r="E239">
            <v>0</v>
          </cell>
          <cell r="F239">
            <v>513</v>
          </cell>
          <cell r="G239" t="str">
            <v>D/M</v>
          </cell>
          <cell r="H239" t="str">
            <v>G160</v>
          </cell>
          <cell r="I239">
            <v>50</v>
          </cell>
        </row>
        <row r="240">
          <cell r="C240" t="str">
            <v>963025M600</v>
          </cell>
          <cell r="D240">
            <v>1</v>
          </cell>
          <cell r="E240">
            <v>0</v>
          </cell>
          <cell r="F240">
            <v>513</v>
          </cell>
          <cell r="G240" t="str">
            <v>D/M</v>
          </cell>
          <cell r="H240" t="str">
            <v>G110</v>
          </cell>
          <cell r="I240">
            <v>480</v>
          </cell>
        </row>
        <row r="241">
          <cell r="C241" t="str">
            <v>963025M620</v>
          </cell>
          <cell r="D241">
            <v>1</v>
          </cell>
          <cell r="E241">
            <v>0</v>
          </cell>
          <cell r="F241">
            <v>513</v>
          </cell>
          <cell r="G241" t="str">
            <v>F/M</v>
          </cell>
          <cell r="H241" t="str">
            <v>G150</v>
          </cell>
          <cell r="I241">
            <v>10</v>
          </cell>
        </row>
        <row r="242">
          <cell r="C242" t="str">
            <v>963025M700</v>
          </cell>
          <cell r="D242">
            <v>1</v>
          </cell>
          <cell r="E242">
            <v>0</v>
          </cell>
          <cell r="F242">
            <v>513</v>
          </cell>
          <cell r="G242" t="str">
            <v>D/M</v>
          </cell>
          <cell r="H242" t="str">
            <v>G150</v>
          </cell>
          <cell r="I242">
            <v>3020</v>
          </cell>
        </row>
        <row r="243">
          <cell r="C243" t="str">
            <v>963025M710</v>
          </cell>
          <cell r="D243">
            <v>1</v>
          </cell>
          <cell r="E243">
            <v>0</v>
          </cell>
          <cell r="F243">
            <v>513</v>
          </cell>
          <cell r="G243" t="str">
            <v>D/M</v>
          </cell>
          <cell r="H243" t="str">
            <v>G150</v>
          </cell>
          <cell r="I243">
            <v>160</v>
          </cell>
        </row>
        <row r="244">
          <cell r="C244" t="str">
            <v>963025M760</v>
          </cell>
          <cell r="D244">
            <v>1</v>
          </cell>
          <cell r="E244">
            <v>0</v>
          </cell>
          <cell r="F244">
            <v>513</v>
          </cell>
          <cell r="G244" t="str">
            <v>D/M</v>
          </cell>
          <cell r="H244" t="str">
            <v>G150</v>
          </cell>
          <cell r="I244">
            <v>300</v>
          </cell>
        </row>
        <row r="245">
          <cell r="C245" t="str">
            <v>963025M770</v>
          </cell>
          <cell r="D245">
            <v>1</v>
          </cell>
          <cell r="E245">
            <v>0</v>
          </cell>
          <cell r="F245">
            <v>513</v>
          </cell>
          <cell r="G245" t="str">
            <v>D/M</v>
          </cell>
          <cell r="H245" t="str">
            <v>G150</v>
          </cell>
          <cell r="I245">
            <v>50</v>
          </cell>
        </row>
        <row r="246">
          <cell r="C246" t="str">
            <v>963055M620</v>
          </cell>
          <cell r="D246">
            <v>1</v>
          </cell>
          <cell r="E246">
            <v>0</v>
          </cell>
          <cell r="F246">
            <v>513</v>
          </cell>
          <cell r="G246" t="str">
            <v>REINF</v>
          </cell>
          <cell r="H246" t="str">
            <v>G059</v>
          </cell>
          <cell r="I246">
            <v>10</v>
          </cell>
        </row>
        <row r="247">
          <cell r="C247" t="str">
            <v>963065M620</v>
          </cell>
          <cell r="D247">
            <v>1</v>
          </cell>
          <cell r="E247">
            <v>0</v>
          </cell>
          <cell r="F247">
            <v>513</v>
          </cell>
          <cell r="G247" t="str">
            <v>REINF</v>
          </cell>
          <cell r="H247" t="str">
            <v>G059</v>
          </cell>
          <cell r="I247">
            <v>10</v>
          </cell>
        </row>
        <row r="248">
          <cell r="C248" t="str">
            <v>963214M410</v>
          </cell>
          <cell r="D248">
            <v>1</v>
          </cell>
          <cell r="E248">
            <v>0</v>
          </cell>
          <cell r="F248">
            <v>563</v>
          </cell>
          <cell r="G248" t="str">
            <v>GP/M</v>
          </cell>
          <cell r="H248" t="str">
            <v>H100</v>
          </cell>
          <cell r="I248">
            <v>6000</v>
          </cell>
        </row>
        <row r="249">
          <cell r="C249" t="str">
            <v>963274M400</v>
          </cell>
          <cell r="D249">
            <v>1</v>
          </cell>
          <cell r="E249">
            <v>0</v>
          </cell>
          <cell r="F249">
            <v>563</v>
          </cell>
          <cell r="G249" t="str">
            <v>BASE</v>
          </cell>
          <cell r="H249" t="str">
            <v>H109</v>
          </cell>
          <cell r="I249">
            <v>6000</v>
          </cell>
        </row>
        <row r="250">
          <cell r="C250" t="str">
            <v>963274M400</v>
          </cell>
          <cell r="D250">
            <v>1</v>
          </cell>
          <cell r="E250">
            <v>0</v>
          </cell>
          <cell r="F250">
            <v>563</v>
          </cell>
          <cell r="G250" t="str">
            <v>BASE</v>
          </cell>
          <cell r="H250" t="str">
            <v>H109</v>
          </cell>
          <cell r="I250">
            <v>6000</v>
          </cell>
        </row>
        <row r="251">
          <cell r="C251" t="str">
            <v>963734M401</v>
          </cell>
          <cell r="D251">
            <v>1</v>
          </cell>
          <cell r="E251" t="str">
            <v>C</v>
          </cell>
          <cell r="F251">
            <v>513</v>
          </cell>
          <cell r="G251" t="str">
            <v>C0VER</v>
          </cell>
          <cell r="H251" t="str">
            <v>G169</v>
          </cell>
          <cell r="I251">
            <v>330</v>
          </cell>
        </row>
        <row r="252">
          <cell r="C252" t="str">
            <v>963734M404</v>
          </cell>
          <cell r="D252">
            <v>1</v>
          </cell>
          <cell r="E252" t="str">
            <v>C</v>
          </cell>
          <cell r="F252">
            <v>513</v>
          </cell>
          <cell r="G252" t="str">
            <v>C0VER</v>
          </cell>
          <cell r="H252" t="str">
            <v>G169</v>
          </cell>
          <cell r="I252">
            <v>330</v>
          </cell>
        </row>
        <row r="253">
          <cell r="C253" t="str">
            <v>963734M405</v>
          </cell>
          <cell r="D253">
            <v>1</v>
          </cell>
          <cell r="E253" t="str">
            <v>C</v>
          </cell>
          <cell r="F253">
            <v>513</v>
          </cell>
          <cell r="G253" t="str">
            <v>C0VER</v>
          </cell>
          <cell r="H253" t="str">
            <v>G169</v>
          </cell>
          <cell r="I253">
            <v>330</v>
          </cell>
        </row>
        <row r="254">
          <cell r="C254" t="str">
            <v>963734M407</v>
          </cell>
          <cell r="D254">
            <v>1</v>
          </cell>
          <cell r="E254" t="str">
            <v>C</v>
          </cell>
          <cell r="F254">
            <v>513</v>
          </cell>
          <cell r="G254" t="str">
            <v>C0VER</v>
          </cell>
          <cell r="H254" t="str">
            <v>G169</v>
          </cell>
          <cell r="I254">
            <v>330</v>
          </cell>
        </row>
        <row r="255">
          <cell r="C255" t="str">
            <v>963734M408</v>
          </cell>
          <cell r="D255">
            <v>1</v>
          </cell>
          <cell r="E255" t="str">
            <v>C</v>
          </cell>
          <cell r="F255">
            <v>513</v>
          </cell>
          <cell r="G255" t="str">
            <v>C0VER</v>
          </cell>
          <cell r="H255" t="str">
            <v>G169</v>
          </cell>
          <cell r="I255">
            <v>330</v>
          </cell>
        </row>
        <row r="256">
          <cell r="C256" t="str">
            <v>963734M409</v>
          </cell>
          <cell r="D256">
            <v>1</v>
          </cell>
          <cell r="E256" t="str">
            <v>C</v>
          </cell>
          <cell r="F256">
            <v>513</v>
          </cell>
          <cell r="G256" t="str">
            <v>C0VER</v>
          </cell>
          <cell r="H256" t="str">
            <v>G169</v>
          </cell>
          <cell r="I256">
            <v>330</v>
          </cell>
        </row>
        <row r="257">
          <cell r="C257" t="str">
            <v>963744M401</v>
          </cell>
          <cell r="D257">
            <v>1</v>
          </cell>
          <cell r="E257" t="str">
            <v>C</v>
          </cell>
          <cell r="F257">
            <v>513</v>
          </cell>
          <cell r="G257" t="str">
            <v>C0VER</v>
          </cell>
          <cell r="H257" t="str">
            <v>G169</v>
          </cell>
          <cell r="I257">
            <v>330</v>
          </cell>
        </row>
        <row r="258">
          <cell r="C258" t="str">
            <v>963744M404</v>
          </cell>
          <cell r="D258">
            <v>1</v>
          </cell>
          <cell r="E258" t="str">
            <v>C</v>
          </cell>
          <cell r="F258">
            <v>513</v>
          </cell>
          <cell r="G258" t="str">
            <v>C0VER</v>
          </cell>
          <cell r="H258" t="str">
            <v>G169</v>
          </cell>
          <cell r="I258">
            <v>330</v>
          </cell>
        </row>
        <row r="259">
          <cell r="C259" t="str">
            <v>963744M405</v>
          </cell>
          <cell r="D259">
            <v>1</v>
          </cell>
          <cell r="E259" t="str">
            <v>C</v>
          </cell>
          <cell r="F259">
            <v>513</v>
          </cell>
          <cell r="G259" t="str">
            <v>C0VER</v>
          </cell>
          <cell r="H259" t="str">
            <v>G169</v>
          </cell>
          <cell r="I259">
            <v>330</v>
          </cell>
        </row>
        <row r="260">
          <cell r="C260" t="str">
            <v>963744M407</v>
          </cell>
          <cell r="D260">
            <v>1</v>
          </cell>
          <cell r="E260" t="str">
            <v>C</v>
          </cell>
          <cell r="F260">
            <v>513</v>
          </cell>
          <cell r="G260" t="str">
            <v>C0VER</v>
          </cell>
          <cell r="H260" t="str">
            <v>G169</v>
          </cell>
          <cell r="I260">
            <v>330</v>
          </cell>
        </row>
        <row r="261">
          <cell r="C261" t="str">
            <v>963744M408</v>
          </cell>
          <cell r="D261">
            <v>1</v>
          </cell>
          <cell r="E261" t="str">
            <v>C</v>
          </cell>
          <cell r="F261">
            <v>513</v>
          </cell>
          <cell r="G261" t="str">
            <v>C0VER</v>
          </cell>
          <cell r="H261" t="str">
            <v>G169</v>
          </cell>
          <cell r="I261">
            <v>330</v>
          </cell>
        </row>
        <row r="262">
          <cell r="C262" t="str">
            <v>963744M409</v>
          </cell>
          <cell r="D262">
            <v>1</v>
          </cell>
          <cell r="E262" t="str">
            <v>C</v>
          </cell>
          <cell r="F262">
            <v>513</v>
          </cell>
          <cell r="G262" t="str">
            <v>C0VER</v>
          </cell>
          <cell r="H262" t="str">
            <v>G169</v>
          </cell>
          <cell r="I262">
            <v>330</v>
          </cell>
        </row>
        <row r="263">
          <cell r="C263" t="str">
            <v>26010G5760</v>
          </cell>
          <cell r="D263">
            <v>1</v>
          </cell>
          <cell r="E263">
            <v>0</v>
          </cell>
          <cell r="F263">
            <v>151</v>
          </cell>
          <cell r="G263" t="str">
            <v>H/L</v>
          </cell>
          <cell r="H263" t="str">
            <v>A190</v>
          </cell>
          <cell r="I263">
            <v>600</v>
          </cell>
        </row>
        <row r="264">
          <cell r="C264" t="str">
            <v>26060G5760</v>
          </cell>
          <cell r="D264">
            <v>1</v>
          </cell>
          <cell r="E264">
            <v>0</v>
          </cell>
          <cell r="F264">
            <v>151</v>
          </cell>
          <cell r="G264" t="str">
            <v>H/L</v>
          </cell>
          <cell r="H264" t="str">
            <v>A190</v>
          </cell>
          <cell r="I264">
            <v>600</v>
          </cell>
        </row>
        <row r="265">
          <cell r="C265" t="str">
            <v>2613003A00</v>
          </cell>
          <cell r="D265">
            <v>3</v>
          </cell>
          <cell r="E265">
            <v>0</v>
          </cell>
          <cell r="F265">
            <v>415</v>
          </cell>
          <cell r="G265" t="str">
            <v>FTR/L</v>
          </cell>
          <cell r="H265" t="str">
            <v>B110</v>
          </cell>
          <cell r="I265">
            <v>600</v>
          </cell>
        </row>
        <row r="266">
          <cell r="C266" t="str">
            <v>62410G5760</v>
          </cell>
          <cell r="D266">
            <v>1</v>
          </cell>
          <cell r="E266">
            <v>0</v>
          </cell>
          <cell r="F266">
            <v>754</v>
          </cell>
          <cell r="G266" t="str">
            <v>FIN</v>
          </cell>
          <cell r="H266" t="str">
            <v>P000</v>
          </cell>
          <cell r="I266">
            <v>0</v>
          </cell>
        </row>
        <row r="267">
          <cell r="C267" t="str">
            <v>62410G5760</v>
          </cell>
          <cell r="D267">
            <v>1</v>
          </cell>
          <cell r="E267">
            <v>0</v>
          </cell>
          <cell r="F267">
            <v>754</v>
          </cell>
          <cell r="G267" t="str">
            <v>F1N</v>
          </cell>
          <cell r="H267" t="str">
            <v>P000</v>
          </cell>
          <cell r="I267">
            <v>400</v>
          </cell>
        </row>
        <row r="268">
          <cell r="C268" t="str">
            <v>62411G5760</v>
          </cell>
          <cell r="D268">
            <v>1</v>
          </cell>
          <cell r="E268">
            <v>0</v>
          </cell>
          <cell r="F268">
            <v>754</v>
          </cell>
          <cell r="G268" t="str">
            <v>FIN</v>
          </cell>
          <cell r="H268" t="str">
            <v>P000</v>
          </cell>
          <cell r="I268">
            <v>0</v>
          </cell>
        </row>
        <row r="269">
          <cell r="C269" t="str">
            <v>62411G5760</v>
          </cell>
          <cell r="D269">
            <v>1</v>
          </cell>
          <cell r="E269">
            <v>0</v>
          </cell>
          <cell r="F269">
            <v>754</v>
          </cell>
          <cell r="G269" t="str">
            <v>F1N</v>
          </cell>
          <cell r="H269" t="str">
            <v>P000</v>
          </cell>
          <cell r="I269">
            <v>400</v>
          </cell>
        </row>
        <row r="270">
          <cell r="C270" t="str">
            <v>62412G5760</v>
          </cell>
          <cell r="D270">
            <v>1</v>
          </cell>
          <cell r="E270">
            <v>0</v>
          </cell>
          <cell r="F270">
            <v>754</v>
          </cell>
          <cell r="G270" t="str">
            <v>F1N</v>
          </cell>
          <cell r="H270" t="str">
            <v>P009</v>
          </cell>
          <cell r="I270">
            <v>400</v>
          </cell>
        </row>
        <row r="271">
          <cell r="C271" t="str">
            <v>62413G5760</v>
          </cell>
          <cell r="D271">
            <v>1</v>
          </cell>
          <cell r="E271">
            <v>0</v>
          </cell>
          <cell r="F271">
            <v>754</v>
          </cell>
          <cell r="G271" t="str">
            <v>F1N</v>
          </cell>
          <cell r="H271" t="str">
            <v>P009</v>
          </cell>
          <cell r="I271">
            <v>400</v>
          </cell>
        </row>
        <row r="272">
          <cell r="C272" t="str">
            <v>62422G5760</v>
          </cell>
          <cell r="D272">
            <v>1</v>
          </cell>
          <cell r="E272">
            <v>0</v>
          </cell>
          <cell r="F272">
            <v>754</v>
          </cell>
          <cell r="G272" t="str">
            <v>FIN</v>
          </cell>
          <cell r="H272" t="str">
            <v>P000</v>
          </cell>
          <cell r="I272">
            <v>0</v>
          </cell>
        </row>
        <row r="273">
          <cell r="C273" t="str">
            <v>62422G5760</v>
          </cell>
          <cell r="D273">
            <v>1</v>
          </cell>
          <cell r="E273">
            <v>0</v>
          </cell>
          <cell r="F273">
            <v>754</v>
          </cell>
          <cell r="G273" t="str">
            <v>GR1LLE</v>
          </cell>
          <cell r="H273" t="str">
            <v>P000</v>
          </cell>
          <cell r="I273">
            <v>400</v>
          </cell>
        </row>
        <row r="274">
          <cell r="C274" t="str">
            <v>62423G5760</v>
          </cell>
          <cell r="D274">
            <v>1</v>
          </cell>
          <cell r="E274">
            <v>0</v>
          </cell>
          <cell r="F274">
            <v>754</v>
          </cell>
          <cell r="G274" t="str">
            <v>FIN</v>
          </cell>
          <cell r="H274" t="str">
            <v>P000</v>
          </cell>
          <cell r="I274">
            <v>0</v>
          </cell>
        </row>
        <row r="275">
          <cell r="C275" t="str">
            <v>62423G5760</v>
          </cell>
          <cell r="D275">
            <v>1</v>
          </cell>
          <cell r="E275">
            <v>0</v>
          </cell>
          <cell r="F275">
            <v>754</v>
          </cell>
          <cell r="G275" t="str">
            <v>GR1LLE</v>
          </cell>
          <cell r="H275" t="str">
            <v>P000</v>
          </cell>
          <cell r="I275">
            <v>400</v>
          </cell>
        </row>
        <row r="276">
          <cell r="C276" t="str">
            <v>26010WA000</v>
          </cell>
          <cell r="D276">
            <v>1</v>
          </cell>
          <cell r="E276">
            <v>0</v>
          </cell>
          <cell r="F276">
            <v>151</v>
          </cell>
          <cell r="G276" t="str">
            <v>H/L</v>
          </cell>
          <cell r="H276" t="str">
            <v>A190</v>
          </cell>
          <cell r="I276">
            <v>1500</v>
          </cell>
        </row>
        <row r="277">
          <cell r="C277" t="str">
            <v>26010WA020</v>
          </cell>
          <cell r="D277">
            <v>1</v>
          </cell>
          <cell r="E277">
            <v>0</v>
          </cell>
          <cell r="F277">
            <v>151</v>
          </cell>
          <cell r="G277" t="str">
            <v>H/L</v>
          </cell>
          <cell r="H277" t="str">
            <v>A400</v>
          </cell>
          <cell r="I277">
            <v>60</v>
          </cell>
        </row>
        <row r="278">
          <cell r="C278" t="str">
            <v>26010WA210</v>
          </cell>
          <cell r="D278">
            <v>1</v>
          </cell>
          <cell r="E278">
            <v>0</v>
          </cell>
          <cell r="F278">
            <v>151</v>
          </cell>
          <cell r="G278" t="str">
            <v>H/L</v>
          </cell>
          <cell r="H278" t="str">
            <v>A400</v>
          </cell>
          <cell r="I278">
            <v>340</v>
          </cell>
        </row>
        <row r="279">
          <cell r="C279" t="str">
            <v>26010WA220</v>
          </cell>
          <cell r="D279">
            <v>1</v>
          </cell>
          <cell r="E279">
            <v>0</v>
          </cell>
          <cell r="F279">
            <v>151</v>
          </cell>
          <cell r="G279" t="str">
            <v>H/L</v>
          </cell>
          <cell r="H279" t="str">
            <v>A190</v>
          </cell>
          <cell r="I279">
            <v>300</v>
          </cell>
        </row>
        <row r="280">
          <cell r="C280" t="str">
            <v>26010WA400</v>
          </cell>
          <cell r="D280">
            <v>1</v>
          </cell>
          <cell r="E280">
            <v>0</v>
          </cell>
          <cell r="F280">
            <v>151</v>
          </cell>
          <cell r="G280" t="str">
            <v>H/L</v>
          </cell>
          <cell r="H280" t="str">
            <v>A190</v>
          </cell>
          <cell r="I280">
            <v>1500</v>
          </cell>
        </row>
        <row r="281">
          <cell r="C281" t="str">
            <v>26060WA000</v>
          </cell>
          <cell r="D281">
            <v>1</v>
          </cell>
          <cell r="E281">
            <v>151</v>
          </cell>
          <cell r="F281" t="str">
            <v>H/L</v>
          </cell>
          <cell r="G281" t="str">
            <v>A190</v>
          </cell>
          <cell r="H281">
            <v>0</v>
          </cell>
          <cell r="I281">
            <v>1500</v>
          </cell>
        </row>
        <row r="282">
          <cell r="C282" t="str">
            <v>26060WA020</v>
          </cell>
          <cell r="D282">
            <v>1</v>
          </cell>
          <cell r="E282">
            <v>151</v>
          </cell>
          <cell r="F282" t="str">
            <v>H/L</v>
          </cell>
          <cell r="G282" t="str">
            <v>A400</v>
          </cell>
          <cell r="H282">
            <v>0</v>
          </cell>
          <cell r="I282">
            <v>60</v>
          </cell>
        </row>
        <row r="283">
          <cell r="C283" t="str">
            <v>26060WA210</v>
          </cell>
          <cell r="D283">
            <v>1</v>
          </cell>
          <cell r="E283">
            <v>151</v>
          </cell>
          <cell r="F283" t="str">
            <v>H/L</v>
          </cell>
          <cell r="G283" t="str">
            <v>A400</v>
          </cell>
          <cell r="H283">
            <v>0</v>
          </cell>
          <cell r="I283">
            <v>340</v>
          </cell>
        </row>
        <row r="284">
          <cell r="C284" t="str">
            <v>26060WA220</v>
          </cell>
          <cell r="D284">
            <v>1</v>
          </cell>
          <cell r="E284">
            <v>151</v>
          </cell>
          <cell r="F284" t="str">
            <v>H/L</v>
          </cell>
          <cell r="G284" t="str">
            <v>A190</v>
          </cell>
          <cell r="H284">
            <v>0</v>
          </cell>
          <cell r="I284">
            <v>300</v>
          </cell>
        </row>
        <row r="285">
          <cell r="C285" t="str">
            <v>26060WA400</v>
          </cell>
          <cell r="D285">
            <v>1</v>
          </cell>
          <cell r="E285">
            <v>151</v>
          </cell>
          <cell r="F285" t="str">
            <v>H/L</v>
          </cell>
          <cell r="G285" t="str">
            <v>A190</v>
          </cell>
          <cell r="H285">
            <v>0</v>
          </cell>
          <cell r="I285">
            <v>1500</v>
          </cell>
        </row>
        <row r="286">
          <cell r="C286" t="str">
            <v>26150WA000</v>
          </cell>
          <cell r="D286">
            <v>1</v>
          </cell>
          <cell r="E286">
            <v>0</v>
          </cell>
          <cell r="F286">
            <v>415</v>
          </cell>
          <cell r="G286" t="str">
            <v>F/L</v>
          </cell>
          <cell r="H286" t="str">
            <v>D300</v>
          </cell>
          <cell r="I286">
            <v>500</v>
          </cell>
        </row>
        <row r="287">
          <cell r="C287" t="str">
            <v>26155WA000</v>
          </cell>
          <cell r="D287">
            <v>1</v>
          </cell>
          <cell r="E287">
            <v>0</v>
          </cell>
          <cell r="F287">
            <v>415</v>
          </cell>
          <cell r="G287" t="str">
            <v>F/L</v>
          </cell>
          <cell r="H287" t="str">
            <v>D300</v>
          </cell>
          <cell r="I287">
            <v>500</v>
          </cell>
        </row>
        <row r="288">
          <cell r="C288" t="str">
            <v>264100V000</v>
          </cell>
          <cell r="D288">
            <v>3</v>
          </cell>
          <cell r="E288">
            <v>0</v>
          </cell>
          <cell r="F288">
            <v>415</v>
          </cell>
          <cell r="G288" t="str">
            <v>R/L</v>
          </cell>
          <cell r="H288" t="str">
            <v>D100</v>
          </cell>
          <cell r="I288">
            <v>2200</v>
          </cell>
        </row>
        <row r="289">
          <cell r="C289" t="str">
            <v>264110V000</v>
          </cell>
          <cell r="D289">
            <v>0</v>
          </cell>
          <cell r="E289">
            <v>0</v>
          </cell>
          <cell r="F289">
            <v>415</v>
          </cell>
          <cell r="G289" t="str">
            <v>LENS</v>
          </cell>
          <cell r="H289" t="str">
            <v>D109</v>
          </cell>
          <cell r="I289">
            <v>10</v>
          </cell>
        </row>
        <row r="290">
          <cell r="C290" t="str">
            <v>264302N300</v>
          </cell>
          <cell r="D290">
            <v>3</v>
          </cell>
          <cell r="E290">
            <v>0</v>
          </cell>
          <cell r="F290">
            <v>415</v>
          </cell>
          <cell r="G290" t="str">
            <v>MAP/L</v>
          </cell>
          <cell r="H290" t="str">
            <v>E010</v>
          </cell>
          <cell r="I290">
            <v>500</v>
          </cell>
        </row>
        <row r="291">
          <cell r="C291" t="str">
            <v>264303J000</v>
          </cell>
          <cell r="D291">
            <v>3</v>
          </cell>
          <cell r="E291">
            <v>0</v>
          </cell>
          <cell r="F291">
            <v>415</v>
          </cell>
          <cell r="G291" t="str">
            <v>MAP/L</v>
          </cell>
          <cell r="H291" t="str">
            <v>E010</v>
          </cell>
          <cell r="I291">
            <v>1700</v>
          </cell>
        </row>
        <row r="292">
          <cell r="C292" t="str">
            <v>26430WA000</v>
          </cell>
          <cell r="D292">
            <v>2</v>
          </cell>
          <cell r="E292">
            <v>0</v>
          </cell>
          <cell r="F292">
            <v>415</v>
          </cell>
          <cell r="G292" t="str">
            <v>MAP/L</v>
          </cell>
          <cell r="H292" t="str">
            <v>E010</v>
          </cell>
          <cell r="I292">
            <v>500</v>
          </cell>
        </row>
        <row r="293">
          <cell r="C293" t="str">
            <v>26510WA000</v>
          </cell>
          <cell r="D293">
            <v>1</v>
          </cell>
          <cell r="E293">
            <v>0</v>
          </cell>
          <cell r="F293">
            <v>415</v>
          </cell>
          <cell r="G293" t="str">
            <v>L/L</v>
          </cell>
          <cell r="H293" t="str">
            <v>D000</v>
          </cell>
          <cell r="I293">
            <v>2200</v>
          </cell>
        </row>
        <row r="294">
          <cell r="C294" t="str">
            <v>26590WA400</v>
          </cell>
          <cell r="D294">
            <v>1</v>
          </cell>
          <cell r="E294">
            <v>0</v>
          </cell>
          <cell r="F294">
            <v>414</v>
          </cell>
          <cell r="G294" t="str">
            <v>HMS/L</v>
          </cell>
          <cell r="H294" t="str">
            <v>B050</v>
          </cell>
          <cell r="I294">
            <v>235</v>
          </cell>
        </row>
        <row r="295">
          <cell r="C295" t="str">
            <v>26598WA400</v>
          </cell>
          <cell r="D295">
            <v>1</v>
          </cell>
          <cell r="E295">
            <v>0</v>
          </cell>
          <cell r="F295">
            <v>414</v>
          </cell>
          <cell r="G295" t="str">
            <v>C0VER</v>
          </cell>
          <cell r="H295" t="str">
            <v>B059</v>
          </cell>
          <cell r="I295">
            <v>235</v>
          </cell>
        </row>
        <row r="296">
          <cell r="C296" t="str">
            <v>28881WA000</v>
          </cell>
          <cell r="D296">
            <v>1</v>
          </cell>
          <cell r="E296">
            <v>0</v>
          </cell>
          <cell r="F296">
            <v>714</v>
          </cell>
          <cell r="G296" t="str">
            <v>W/A</v>
          </cell>
          <cell r="H296" t="str">
            <v>K020</v>
          </cell>
          <cell r="I296">
            <v>2200</v>
          </cell>
        </row>
        <row r="297">
          <cell r="C297" t="str">
            <v>2888250J00</v>
          </cell>
          <cell r="D297">
            <v>3</v>
          </cell>
          <cell r="E297">
            <v>0</v>
          </cell>
          <cell r="F297">
            <v>714</v>
          </cell>
          <cell r="G297" t="str">
            <v>C0VER</v>
          </cell>
          <cell r="H297">
            <v>0</v>
          </cell>
          <cell r="I297">
            <v>4400</v>
          </cell>
        </row>
        <row r="298">
          <cell r="C298" t="str">
            <v>28886WA000</v>
          </cell>
          <cell r="D298">
            <v>1</v>
          </cell>
          <cell r="E298">
            <v>0</v>
          </cell>
          <cell r="F298">
            <v>714</v>
          </cell>
          <cell r="G298" t="str">
            <v>W/A</v>
          </cell>
          <cell r="H298" t="str">
            <v>K020</v>
          </cell>
          <cell r="I298">
            <v>2200</v>
          </cell>
        </row>
        <row r="299">
          <cell r="C299" t="str">
            <v>28890WA005</v>
          </cell>
          <cell r="D299">
            <v>1</v>
          </cell>
          <cell r="E299">
            <v>0</v>
          </cell>
          <cell r="F299">
            <v>714</v>
          </cell>
          <cell r="G299" t="str">
            <v>W/B</v>
          </cell>
          <cell r="H299" t="str">
            <v>K010</v>
          </cell>
          <cell r="I299">
            <v>2500</v>
          </cell>
        </row>
        <row r="300">
          <cell r="C300" t="str">
            <v>28890WA010</v>
          </cell>
          <cell r="D300">
            <v>1</v>
          </cell>
          <cell r="E300">
            <v>0</v>
          </cell>
          <cell r="F300">
            <v>714</v>
          </cell>
          <cell r="G300" t="str">
            <v>W/B</v>
          </cell>
          <cell r="H300" t="str">
            <v>K010</v>
          </cell>
          <cell r="I300">
            <v>2500</v>
          </cell>
        </row>
        <row r="301">
          <cell r="C301" t="str">
            <v>96321WA000</v>
          </cell>
          <cell r="D301">
            <v>1</v>
          </cell>
          <cell r="E301">
            <v>0</v>
          </cell>
          <cell r="F301">
            <v>563</v>
          </cell>
          <cell r="G301" t="str">
            <v>GP/M</v>
          </cell>
          <cell r="H301" t="str">
            <v>H100</v>
          </cell>
          <cell r="I301">
            <v>2200</v>
          </cell>
        </row>
        <row r="302">
          <cell r="C302" t="str">
            <v>96321WD200</v>
          </cell>
          <cell r="D302">
            <v>3</v>
          </cell>
          <cell r="E302">
            <v>0</v>
          </cell>
          <cell r="F302">
            <v>563</v>
          </cell>
          <cell r="G302" t="str">
            <v>I/M</v>
          </cell>
          <cell r="H302">
            <v>0</v>
          </cell>
          <cell r="I302">
            <v>1500</v>
          </cell>
        </row>
        <row r="303">
          <cell r="C303" t="str">
            <v>9632801F00</v>
          </cell>
          <cell r="D303">
            <v>0</v>
          </cell>
          <cell r="E303">
            <v>0</v>
          </cell>
          <cell r="F303">
            <v>563</v>
          </cell>
          <cell r="G303" t="str">
            <v>RUB</v>
          </cell>
          <cell r="H303">
            <v>0</v>
          </cell>
          <cell r="I303">
            <v>2200</v>
          </cell>
        </row>
        <row r="304">
          <cell r="C304" t="str">
            <v>9632851S00</v>
          </cell>
          <cell r="D304">
            <v>3</v>
          </cell>
          <cell r="E304">
            <v>0</v>
          </cell>
          <cell r="F304">
            <v>563</v>
          </cell>
          <cell r="G304" t="str">
            <v>RUB</v>
          </cell>
          <cell r="H304">
            <v>0</v>
          </cell>
          <cell r="I304">
            <v>1500</v>
          </cell>
        </row>
        <row r="305">
          <cell r="C305" t="str">
            <v>963403C000</v>
          </cell>
          <cell r="D305">
            <v>3</v>
          </cell>
          <cell r="E305">
            <v>0</v>
          </cell>
          <cell r="F305">
            <v>513</v>
          </cell>
          <cell r="G305" t="str">
            <v>RRU/M</v>
          </cell>
          <cell r="H305" t="str">
            <v>G020</v>
          </cell>
          <cell r="I305">
            <v>75</v>
          </cell>
        </row>
        <row r="306">
          <cell r="C306">
            <v>2626189947</v>
          </cell>
          <cell r="D306">
            <v>0</v>
          </cell>
          <cell r="E306">
            <v>0</v>
          </cell>
          <cell r="F306">
            <v>214</v>
          </cell>
          <cell r="G306" t="str">
            <v>BULB</v>
          </cell>
          <cell r="H306" t="str">
            <v>E039</v>
          </cell>
          <cell r="I306">
            <v>0</v>
          </cell>
        </row>
        <row r="307">
          <cell r="C307" t="str">
            <v>260102Y001</v>
          </cell>
          <cell r="D307">
            <v>1</v>
          </cell>
          <cell r="E307">
            <v>0</v>
          </cell>
          <cell r="F307">
            <v>151</v>
          </cell>
          <cell r="G307" t="str">
            <v>H/L</v>
          </cell>
          <cell r="H307" t="str">
            <v>A190</v>
          </cell>
          <cell r="I307">
            <v>0</v>
          </cell>
        </row>
        <row r="308">
          <cell r="C308" t="str">
            <v>260102Y005</v>
          </cell>
          <cell r="D308">
            <v>1</v>
          </cell>
          <cell r="E308">
            <v>0</v>
          </cell>
          <cell r="F308">
            <v>151</v>
          </cell>
          <cell r="G308" t="str">
            <v>H/L</v>
          </cell>
          <cell r="H308" t="str">
            <v>A190</v>
          </cell>
          <cell r="I308">
            <v>1800</v>
          </cell>
        </row>
        <row r="309">
          <cell r="C309" t="str">
            <v>260102Y015</v>
          </cell>
          <cell r="D309">
            <v>1</v>
          </cell>
          <cell r="E309">
            <v>0</v>
          </cell>
          <cell r="F309">
            <v>151</v>
          </cell>
          <cell r="G309" t="str">
            <v>H/L</v>
          </cell>
          <cell r="H309" t="str">
            <v>A190</v>
          </cell>
          <cell r="I309">
            <v>500</v>
          </cell>
        </row>
        <row r="310">
          <cell r="C310" t="str">
            <v>260103Y001</v>
          </cell>
          <cell r="D310">
            <v>1</v>
          </cell>
          <cell r="E310">
            <v>0</v>
          </cell>
          <cell r="F310">
            <v>151</v>
          </cell>
          <cell r="G310" t="str">
            <v>H/L</v>
          </cell>
          <cell r="H310" t="str">
            <v>A400</v>
          </cell>
          <cell r="I310">
            <v>0</v>
          </cell>
        </row>
        <row r="311">
          <cell r="C311" t="str">
            <v>260103Y005</v>
          </cell>
          <cell r="D311">
            <v>1</v>
          </cell>
          <cell r="E311">
            <v>0</v>
          </cell>
          <cell r="F311">
            <v>151</v>
          </cell>
          <cell r="G311" t="str">
            <v>H/L</v>
          </cell>
          <cell r="H311" t="str">
            <v>A400</v>
          </cell>
          <cell r="I311">
            <v>1000</v>
          </cell>
        </row>
        <row r="312">
          <cell r="C312" t="str">
            <v>260103Y015</v>
          </cell>
          <cell r="D312">
            <v>1</v>
          </cell>
          <cell r="E312">
            <v>0</v>
          </cell>
          <cell r="F312">
            <v>151</v>
          </cell>
          <cell r="G312" t="str">
            <v>H/L</v>
          </cell>
          <cell r="H312" t="str">
            <v>A400</v>
          </cell>
          <cell r="I312">
            <v>400</v>
          </cell>
        </row>
        <row r="313">
          <cell r="C313" t="str">
            <v>260103Y305</v>
          </cell>
          <cell r="D313">
            <v>1</v>
          </cell>
          <cell r="E313">
            <v>0</v>
          </cell>
          <cell r="F313">
            <v>151</v>
          </cell>
          <cell r="G313" t="str">
            <v>H/L</v>
          </cell>
          <cell r="H313" t="str">
            <v>A190</v>
          </cell>
          <cell r="I313">
            <v>1400</v>
          </cell>
        </row>
        <row r="314">
          <cell r="C314" t="str">
            <v>260103Y315</v>
          </cell>
          <cell r="D314">
            <v>1</v>
          </cell>
          <cell r="E314">
            <v>0</v>
          </cell>
          <cell r="F314">
            <v>151</v>
          </cell>
          <cell r="G314" t="str">
            <v>H/L</v>
          </cell>
          <cell r="H314" t="str">
            <v>A190</v>
          </cell>
          <cell r="I314">
            <v>400</v>
          </cell>
        </row>
        <row r="315">
          <cell r="C315" t="str">
            <v>260103Y405</v>
          </cell>
          <cell r="D315">
            <v>1</v>
          </cell>
          <cell r="E315">
            <v>0</v>
          </cell>
          <cell r="F315">
            <v>151</v>
          </cell>
          <cell r="G315" t="str">
            <v>H/L</v>
          </cell>
          <cell r="H315" t="str">
            <v>A400</v>
          </cell>
          <cell r="I315">
            <v>200</v>
          </cell>
        </row>
        <row r="316">
          <cell r="C316" t="str">
            <v>260103Y415</v>
          </cell>
          <cell r="D316">
            <v>1</v>
          </cell>
          <cell r="E316">
            <v>0</v>
          </cell>
          <cell r="F316">
            <v>151</v>
          </cell>
          <cell r="G316" t="str">
            <v>H/L</v>
          </cell>
          <cell r="H316" t="str">
            <v>A400</v>
          </cell>
          <cell r="I316">
            <v>50</v>
          </cell>
        </row>
        <row r="317">
          <cell r="C317" t="str">
            <v>260103Y500</v>
          </cell>
          <cell r="D317">
            <v>1</v>
          </cell>
          <cell r="E317">
            <v>0</v>
          </cell>
          <cell r="F317">
            <v>151</v>
          </cell>
          <cell r="G317" t="str">
            <v>H/L</v>
          </cell>
          <cell r="H317" t="str">
            <v>A190</v>
          </cell>
          <cell r="I317">
            <v>1625</v>
          </cell>
        </row>
        <row r="318">
          <cell r="C318" t="str">
            <v>260103Y510</v>
          </cell>
          <cell r="D318">
            <v>1</v>
          </cell>
          <cell r="E318">
            <v>0</v>
          </cell>
          <cell r="F318">
            <v>151</v>
          </cell>
          <cell r="G318" t="str">
            <v>H/L</v>
          </cell>
          <cell r="H318" t="str">
            <v>A400</v>
          </cell>
          <cell r="I318">
            <v>200</v>
          </cell>
        </row>
        <row r="319">
          <cell r="C319" t="str">
            <v>260103Y600</v>
          </cell>
          <cell r="D319">
            <v>1</v>
          </cell>
          <cell r="E319">
            <v>0</v>
          </cell>
          <cell r="F319">
            <v>151</v>
          </cell>
          <cell r="G319" t="str">
            <v>H/L</v>
          </cell>
          <cell r="H319" t="str">
            <v>A190</v>
          </cell>
          <cell r="I319">
            <v>1100</v>
          </cell>
        </row>
        <row r="320">
          <cell r="C320" t="str">
            <v>260103Y610</v>
          </cell>
          <cell r="D320">
            <v>1</v>
          </cell>
          <cell r="E320">
            <v>0</v>
          </cell>
          <cell r="F320">
            <v>151</v>
          </cell>
          <cell r="G320" t="str">
            <v>H/L</v>
          </cell>
          <cell r="H320" t="str">
            <v>A400</v>
          </cell>
          <cell r="I320">
            <v>100</v>
          </cell>
        </row>
        <row r="321">
          <cell r="C321" t="str">
            <v>260602Y001</v>
          </cell>
          <cell r="D321">
            <v>1</v>
          </cell>
          <cell r="E321">
            <v>0</v>
          </cell>
          <cell r="F321">
            <v>151</v>
          </cell>
          <cell r="G321" t="str">
            <v>H/L</v>
          </cell>
          <cell r="H321" t="str">
            <v>A190</v>
          </cell>
          <cell r="I321">
            <v>0</v>
          </cell>
        </row>
        <row r="322">
          <cell r="C322" t="str">
            <v>260602Y005</v>
          </cell>
          <cell r="D322">
            <v>1</v>
          </cell>
          <cell r="E322">
            <v>0</v>
          </cell>
          <cell r="F322">
            <v>151</v>
          </cell>
          <cell r="G322" t="str">
            <v>H/L</v>
          </cell>
          <cell r="H322" t="str">
            <v>A190</v>
          </cell>
          <cell r="I322">
            <v>1800</v>
          </cell>
        </row>
        <row r="323">
          <cell r="C323" t="str">
            <v>260602Y015</v>
          </cell>
          <cell r="D323">
            <v>1</v>
          </cell>
          <cell r="E323">
            <v>0</v>
          </cell>
          <cell r="F323">
            <v>151</v>
          </cell>
          <cell r="G323" t="str">
            <v>H/L</v>
          </cell>
          <cell r="H323" t="str">
            <v>A190</v>
          </cell>
          <cell r="I323">
            <v>500</v>
          </cell>
        </row>
        <row r="324">
          <cell r="C324" t="str">
            <v>260603Y001</v>
          </cell>
          <cell r="D324">
            <v>1</v>
          </cell>
          <cell r="E324">
            <v>0</v>
          </cell>
          <cell r="F324">
            <v>151</v>
          </cell>
          <cell r="G324" t="str">
            <v>H/L</v>
          </cell>
          <cell r="H324" t="str">
            <v>A400</v>
          </cell>
          <cell r="I324">
            <v>0</v>
          </cell>
        </row>
        <row r="325">
          <cell r="C325" t="str">
            <v>260603Y005</v>
          </cell>
          <cell r="D325">
            <v>1</v>
          </cell>
          <cell r="E325">
            <v>0</v>
          </cell>
          <cell r="F325">
            <v>151</v>
          </cell>
          <cell r="G325" t="str">
            <v>H/L</v>
          </cell>
          <cell r="H325" t="str">
            <v>A400</v>
          </cell>
          <cell r="I325">
            <v>1000</v>
          </cell>
        </row>
        <row r="326">
          <cell r="C326" t="str">
            <v>260603Y015</v>
          </cell>
          <cell r="D326">
            <v>1</v>
          </cell>
          <cell r="E326">
            <v>0</v>
          </cell>
          <cell r="F326">
            <v>151</v>
          </cell>
          <cell r="G326" t="str">
            <v>H/L</v>
          </cell>
          <cell r="H326" t="str">
            <v>A400</v>
          </cell>
          <cell r="I326">
            <v>400</v>
          </cell>
        </row>
        <row r="327">
          <cell r="C327" t="str">
            <v>260603Y305</v>
          </cell>
          <cell r="D327">
            <v>1</v>
          </cell>
          <cell r="E327">
            <v>0</v>
          </cell>
          <cell r="F327">
            <v>151</v>
          </cell>
          <cell r="G327" t="str">
            <v>H/L</v>
          </cell>
          <cell r="H327" t="str">
            <v>A190</v>
          </cell>
          <cell r="I327">
            <v>1400</v>
          </cell>
        </row>
        <row r="328">
          <cell r="C328" t="str">
            <v>260603Y315</v>
          </cell>
          <cell r="D328">
            <v>1</v>
          </cell>
          <cell r="E328">
            <v>0</v>
          </cell>
          <cell r="F328">
            <v>151</v>
          </cell>
          <cell r="G328" t="str">
            <v>H/L</v>
          </cell>
          <cell r="H328" t="str">
            <v>A190</v>
          </cell>
          <cell r="I328">
            <v>400</v>
          </cell>
        </row>
        <row r="329">
          <cell r="C329" t="str">
            <v>260603Y405</v>
          </cell>
          <cell r="D329">
            <v>1</v>
          </cell>
          <cell r="E329">
            <v>0</v>
          </cell>
          <cell r="F329">
            <v>151</v>
          </cell>
          <cell r="G329" t="str">
            <v>H/L</v>
          </cell>
          <cell r="H329" t="str">
            <v>A400</v>
          </cell>
          <cell r="I329">
            <v>200</v>
          </cell>
        </row>
        <row r="330">
          <cell r="C330" t="str">
            <v>260603Y415</v>
          </cell>
          <cell r="D330">
            <v>1</v>
          </cell>
          <cell r="E330">
            <v>0</v>
          </cell>
          <cell r="F330">
            <v>151</v>
          </cell>
          <cell r="G330" t="str">
            <v>H/L</v>
          </cell>
          <cell r="H330" t="str">
            <v>A400</v>
          </cell>
          <cell r="I330">
            <v>50</v>
          </cell>
        </row>
        <row r="331">
          <cell r="C331" t="str">
            <v>260603Y500</v>
          </cell>
          <cell r="D331">
            <v>1</v>
          </cell>
          <cell r="E331">
            <v>0</v>
          </cell>
          <cell r="F331">
            <v>151</v>
          </cell>
          <cell r="G331" t="str">
            <v>H/L</v>
          </cell>
          <cell r="H331" t="str">
            <v>A190</v>
          </cell>
          <cell r="I331">
            <v>1625</v>
          </cell>
        </row>
        <row r="332">
          <cell r="C332" t="str">
            <v>260603Y510</v>
          </cell>
          <cell r="D332">
            <v>1</v>
          </cell>
          <cell r="E332">
            <v>0</v>
          </cell>
          <cell r="F332">
            <v>151</v>
          </cell>
          <cell r="G332" t="str">
            <v>H/L</v>
          </cell>
          <cell r="H332" t="str">
            <v>A400</v>
          </cell>
          <cell r="I332">
            <v>200</v>
          </cell>
        </row>
        <row r="333">
          <cell r="C333" t="str">
            <v>260603Y600</v>
          </cell>
          <cell r="D333">
            <v>1</v>
          </cell>
          <cell r="E333">
            <v>0</v>
          </cell>
          <cell r="F333">
            <v>151</v>
          </cell>
          <cell r="G333" t="str">
            <v>H/L</v>
          </cell>
          <cell r="H333" t="str">
            <v>A190</v>
          </cell>
          <cell r="I333">
            <v>1100</v>
          </cell>
        </row>
        <row r="334">
          <cell r="C334" t="str">
            <v>260603Y610</v>
          </cell>
          <cell r="D334">
            <v>1</v>
          </cell>
          <cell r="E334">
            <v>0</v>
          </cell>
          <cell r="F334">
            <v>151</v>
          </cell>
          <cell r="G334" t="str">
            <v>H/L</v>
          </cell>
          <cell r="H334" t="str">
            <v>A400</v>
          </cell>
          <cell r="I334">
            <v>100</v>
          </cell>
        </row>
        <row r="335">
          <cell r="C335" t="str">
            <v>261202Y000</v>
          </cell>
          <cell r="D335">
            <v>1</v>
          </cell>
          <cell r="E335">
            <v>0</v>
          </cell>
          <cell r="F335">
            <v>411</v>
          </cell>
          <cell r="G335" t="str">
            <v>FC/L</v>
          </cell>
          <cell r="H335" t="str">
            <v>B100</v>
          </cell>
          <cell r="I335">
            <v>2800</v>
          </cell>
        </row>
        <row r="336">
          <cell r="C336" t="str">
            <v>261202Y010</v>
          </cell>
          <cell r="D336">
            <v>1</v>
          </cell>
          <cell r="E336">
            <v>0</v>
          </cell>
          <cell r="F336">
            <v>411</v>
          </cell>
          <cell r="G336" t="str">
            <v>FC/L</v>
          </cell>
          <cell r="H336" t="str">
            <v>B100</v>
          </cell>
          <cell r="I336">
            <v>500</v>
          </cell>
        </row>
        <row r="337">
          <cell r="C337" t="str">
            <v>261252Y000</v>
          </cell>
          <cell r="D337">
            <v>1</v>
          </cell>
          <cell r="E337">
            <v>0</v>
          </cell>
          <cell r="F337">
            <v>411</v>
          </cell>
          <cell r="G337" t="str">
            <v>FC/L</v>
          </cell>
          <cell r="H337" t="str">
            <v>B100</v>
          </cell>
          <cell r="I337">
            <v>2800</v>
          </cell>
        </row>
        <row r="338">
          <cell r="C338" t="str">
            <v>261252Y010</v>
          </cell>
          <cell r="D338">
            <v>1</v>
          </cell>
          <cell r="E338">
            <v>0</v>
          </cell>
          <cell r="F338">
            <v>411</v>
          </cell>
          <cell r="G338" t="str">
            <v>FC/L</v>
          </cell>
          <cell r="H338" t="str">
            <v>B100</v>
          </cell>
          <cell r="I338">
            <v>500</v>
          </cell>
        </row>
        <row r="339">
          <cell r="C339" t="str">
            <v>261502Y000</v>
          </cell>
          <cell r="D339">
            <v>1</v>
          </cell>
          <cell r="E339">
            <v>0</v>
          </cell>
          <cell r="F339">
            <v>415</v>
          </cell>
          <cell r="G339" t="str">
            <v>F/L</v>
          </cell>
          <cell r="H339" t="str">
            <v>D300</v>
          </cell>
          <cell r="I339">
            <v>3300</v>
          </cell>
        </row>
        <row r="340">
          <cell r="C340" t="str">
            <v>261503Y300</v>
          </cell>
          <cell r="D340">
            <v>1</v>
          </cell>
          <cell r="E340">
            <v>0</v>
          </cell>
          <cell r="F340">
            <v>415</v>
          </cell>
          <cell r="G340" t="str">
            <v>F/L</v>
          </cell>
          <cell r="H340" t="str">
            <v>D330</v>
          </cell>
          <cell r="I340">
            <v>2050</v>
          </cell>
        </row>
        <row r="341">
          <cell r="C341" t="str">
            <v>261503Y500</v>
          </cell>
          <cell r="D341">
            <v>1</v>
          </cell>
          <cell r="E341">
            <v>0</v>
          </cell>
          <cell r="F341">
            <v>415</v>
          </cell>
          <cell r="G341" t="str">
            <v>F/L</v>
          </cell>
          <cell r="H341" t="str">
            <v>D300</v>
          </cell>
          <cell r="I341">
            <v>3025</v>
          </cell>
        </row>
        <row r="342">
          <cell r="C342" t="str">
            <v>261552Y000</v>
          </cell>
          <cell r="D342">
            <v>1</v>
          </cell>
          <cell r="E342">
            <v>0</v>
          </cell>
          <cell r="F342">
            <v>415</v>
          </cell>
          <cell r="G342" t="str">
            <v>F/L</v>
          </cell>
          <cell r="H342" t="str">
            <v>D300</v>
          </cell>
          <cell r="I342">
            <v>3300</v>
          </cell>
        </row>
        <row r="343">
          <cell r="C343" t="str">
            <v>261553Y300</v>
          </cell>
          <cell r="D343">
            <v>1</v>
          </cell>
          <cell r="E343">
            <v>0</v>
          </cell>
          <cell r="F343">
            <v>415</v>
          </cell>
          <cell r="G343" t="str">
            <v>F/L</v>
          </cell>
          <cell r="H343" t="str">
            <v>D330</v>
          </cell>
          <cell r="I343">
            <v>2050</v>
          </cell>
        </row>
        <row r="344">
          <cell r="C344" t="str">
            <v>261553Y500</v>
          </cell>
          <cell r="D344">
            <v>1</v>
          </cell>
          <cell r="E344">
            <v>0</v>
          </cell>
          <cell r="F344">
            <v>415</v>
          </cell>
          <cell r="G344" t="str">
            <v>F/L</v>
          </cell>
          <cell r="H344" t="str">
            <v>D300</v>
          </cell>
          <cell r="I344">
            <v>3025</v>
          </cell>
        </row>
        <row r="345">
          <cell r="C345" t="str">
            <v>261602Y000</v>
          </cell>
          <cell r="D345">
            <v>2</v>
          </cell>
          <cell r="E345">
            <v>0</v>
          </cell>
          <cell r="F345">
            <v>415</v>
          </cell>
          <cell r="G345" t="str">
            <v>STR/L</v>
          </cell>
          <cell r="H345" t="str">
            <v>B200</v>
          </cell>
          <cell r="I345">
            <v>0</v>
          </cell>
        </row>
        <row r="346">
          <cell r="C346" t="str">
            <v>2616072B00</v>
          </cell>
          <cell r="D346">
            <v>3</v>
          </cell>
          <cell r="E346">
            <v>0</v>
          </cell>
          <cell r="F346">
            <v>415</v>
          </cell>
          <cell r="G346" t="str">
            <v>STR/L</v>
          </cell>
        </row>
        <row r="347">
          <cell r="C347" t="str">
            <v>2616085F00</v>
          </cell>
          <cell r="D347">
            <v>3</v>
          </cell>
          <cell r="E347">
            <v>0</v>
          </cell>
          <cell r="F347">
            <v>415</v>
          </cell>
          <cell r="G347" t="str">
            <v>STR/L</v>
          </cell>
          <cell r="H347">
            <v>0</v>
          </cell>
          <cell r="I347">
            <v>6600</v>
          </cell>
        </row>
        <row r="348">
          <cell r="C348" t="str">
            <v>261803Y300</v>
          </cell>
          <cell r="D348">
            <v>1</v>
          </cell>
          <cell r="E348">
            <v>0</v>
          </cell>
          <cell r="F348">
            <v>415</v>
          </cell>
          <cell r="G348" t="str">
            <v>FSM/L</v>
          </cell>
          <cell r="H348" t="str">
            <v>B210</v>
          </cell>
          <cell r="I348">
            <v>2050</v>
          </cell>
        </row>
        <row r="349">
          <cell r="C349" t="str">
            <v>261803Y500</v>
          </cell>
          <cell r="D349">
            <v>1</v>
          </cell>
          <cell r="E349">
            <v>0</v>
          </cell>
          <cell r="F349">
            <v>415</v>
          </cell>
          <cell r="G349" t="str">
            <v>FSM/L</v>
          </cell>
          <cell r="H349" t="str">
            <v>B210</v>
          </cell>
          <cell r="I349">
            <v>3025</v>
          </cell>
        </row>
        <row r="350">
          <cell r="C350" t="str">
            <v>261853Y300</v>
          </cell>
          <cell r="D350">
            <v>1</v>
          </cell>
          <cell r="E350">
            <v>0</v>
          </cell>
          <cell r="F350">
            <v>415</v>
          </cell>
          <cell r="G350" t="str">
            <v>FSM/L</v>
          </cell>
          <cell r="H350" t="str">
            <v>B210</v>
          </cell>
          <cell r="I350">
            <v>2050</v>
          </cell>
        </row>
        <row r="351">
          <cell r="C351" t="str">
            <v>261853Y500</v>
          </cell>
          <cell r="D351">
            <v>1</v>
          </cell>
          <cell r="E351">
            <v>0</v>
          </cell>
          <cell r="F351">
            <v>415</v>
          </cell>
          <cell r="G351" t="str">
            <v>FSM/L</v>
          </cell>
          <cell r="H351" t="str">
            <v>B210</v>
          </cell>
          <cell r="I351">
            <v>3025</v>
          </cell>
        </row>
        <row r="352">
          <cell r="C352" t="str">
            <v>261903Y300</v>
          </cell>
          <cell r="D352">
            <v>1</v>
          </cell>
          <cell r="E352">
            <v>0</v>
          </cell>
          <cell r="F352">
            <v>414</v>
          </cell>
          <cell r="G352" t="str">
            <v>RSM/L</v>
          </cell>
          <cell r="H352" t="str">
            <v>B210</v>
          </cell>
          <cell r="I352">
            <v>2050</v>
          </cell>
        </row>
        <row r="353">
          <cell r="C353" t="str">
            <v>261903Y500</v>
          </cell>
          <cell r="D353">
            <v>1</v>
          </cell>
          <cell r="E353">
            <v>0</v>
          </cell>
          <cell r="F353">
            <v>414</v>
          </cell>
          <cell r="G353" t="str">
            <v>RSM/L</v>
          </cell>
          <cell r="H353" t="str">
            <v>B210</v>
          </cell>
          <cell r="I353">
            <v>3025</v>
          </cell>
        </row>
        <row r="354">
          <cell r="C354" t="str">
            <v>261953Y300</v>
          </cell>
          <cell r="D354">
            <v>1</v>
          </cell>
          <cell r="E354">
            <v>0</v>
          </cell>
          <cell r="F354">
            <v>414</v>
          </cell>
          <cell r="G354" t="str">
            <v>RSM/L</v>
          </cell>
          <cell r="H354" t="str">
            <v>B210</v>
          </cell>
          <cell r="I354">
            <v>2050</v>
          </cell>
        </row>
        <row r="355">
          <cell r="C355" t="str">
            <v>261953Y500</v>
          </cell>
          <cell r="D355">
            <v>1</v>
          </cell>
          <cell r="E355">
            <v>0</v>
          </cell>
          <cell r="F355">
            <v>414</v>
          </cell>
          <cell r="G355" t="str">
            <v>RSM/L</v>
          </cell>
          <cell r="H355" t="str">
            <v>B210</v>
          </cell>
          <cell r="I355">
            <v>3025</v>
          </cell>
        </row>
        <row r="356">
          <cell r="C356" t="str">
            <v>26261C9903</v>
          </cell>
          <cell r="D356">
            <v>0</v>
          </cell>
          <cell r="E356">
            <v>0</v>
          </cell>
          <cell r="F356">
            <v>214</v>
          </cell>
          <cell r="G356" t="str">
            <v>BULB</v>
          </cell>
          <cell r="H356" t="str">
            <v>E039</v>
          </cell>
          <cell r="I356">
            <v>0</v>
          </cell>
        </row>
        <row r="357">
          <cell r="C357" t="str">
            <v>264102Y000</v>
          </cell>
          <cell r="D357">
            <v>1</v>
          </cell>
          <cell r="E357">
            <v>0</v>
          </cell>
          <cell r="F357">
            <v>415</v>
          </cell>
          <cell r="G357" t="str">
            <v>R/L</v>
          </cell>
          <cell r="H357" t="str">
            <v>D000</v>
          </cell>
          <cell r="I357">
            <v>4700</v>
          </cell>
        </row>
        <row r="358">
          <cell r="C358" t="str">
            <v>264102Y002</v>
          </cell>
          <cell r="D358">
            <v>1</v>
          </cell>
          <cell r="E358">
            <v>0</v>
          </cell>
          <cell r="F358">
            <v>415</v>
          </cell>
          <cell r="G358" t="str">
            <v>R/L</v>
          </cell>
          <cell r="H358" t="str">
            <v>D000</v>
          </cell>
          <cell r="I358">
            <v>4267</v>
          </cell>
        </row>
        <row r="359">
          <cell r="C359" t="str">
            <v>264212Y000</v>
          </cell>
          <cell r="D359">
            <v>1</v>
          </cell>
          <cell r="E359">
            <v>0</v>
          </cell>
          <cell r="F359">
            <v>415</v>
          </cell>
          <cell r="G359" t="str">
            <v>STEP/L</v>
          </cell>
          <cell r="H359" t="str">
            <v>E000</v>
          </cell>
          <cell r="I359">
            <v>16750</v>
          </cell>
        </row>
        <row r="360">
          <cell r="C360" t="str">
            <v>264302Y000</v>
          </cell>
          <cell r="D360">
            <v>1</v>
          </cell>
          <cell r="E360">
            <v>0</v>
          </cell>
          <cell r="F360">
            <v>415</v>
          </cell>
          <cell r="G360" t="str">
            <v>MAP/L</v>
          </cell>
          <cell r="H360" t="str">
            <v>E010</v>
          </cell>
          <cell r="I360">
            <v>1850</v>
          </cell>
        </row>
        <row r="361">
          <cell r="C361" t="str">
            <v>264302Y002</v>
          </cell>
          <cell r="D361">
            <v>1</v>
          </cell>
          <cell r="E361">
            <v>0</v>
          </cell>
          <cell r="F361">
            <v>415</v>
          </cell>
          <cell r="G361" t="str">
            <v>MAP/L</v>
          </cell>
          <cell r="H361" t="str">
            <v>E010</v>
          </cell>
          <cell r="I361">
            <v>1895</v>
          </cell>
        </row>
        <row r="362">
          <cell r="C362" t="str">
            <v>264302Y010</v>
          </cell>
          <cell r="D362">
            <v>1</v>
          </cell>
          <cell r="E362">
            <v>0</v>
          </cell>
          <cell r="F362">
            <v>415</v>
          </cell>
          <cell r="G362" t="str">
            <v>MAP/L</v>
          </cell>
          <cell r="H362" t="str">
            <v>E010</v>
          </cell>
          <cell r="I362">
            <v>850</v>
          </cell>
        </row>
        <row r="363">
          <cell r="C363" t="str">
            <v>264302Y012</v>
          </cell>
          <cell r="D363">
            <v>1</v>
          </cell>
          <cell r="E363">
            <v>0</v>
          </cell>
          <cell r="F363">
            <v>415</v>
          </cell>
          <cell r="G363" t="str">
            <v>MAP/L</v>
          </cell>
          <cell r="H363" t="str">
            <v>E010</v>
          </cell>
          <cell r="I363">
            <v>855</v>
          </cell>
        </row>
        <row r="364">
          <cell r="C364" t="str">
            <v>264303Y000</v>
          </cell>
          <cell r="D364">
            <v>1</v>
          </cell>
          <cell r="E364">
            <v>0</v>
          </cell>
          <cell r="F364">
            <v>415</v>
          </cell>
          <cell r="G364" t="str">
            <v>MAP/L</v>
          </cell>
          <cell r="H364" t="str">
            <v>E010</v>
          </cell>
          <cell r="I364">
            <v>50</v>
          </cell>
        </row>
        <row r="365">
          <cell r="C365" t="str">
            <v>264303Y002</v>
          </cell>
          <cell r="D365">
            <v>1</v>
          </cell>
          <cell r="E365">
            <v>0</v>
          </cell>
          <cell r="F365">
            <v>415</v>
          </cell>
          <cell r="G365" t="str">
            <v>MAP/L</v>
          </cell>
          <cell r="H365" t="str">
            <v>E010</v>
          </cell>
          <cell r="I365">
            <v>50</v>
          </cell>
        </row>
        <row r="366">
          <cell r="C366" t="str">
            <v>264303Y010</v>
          </cell>
          <cell r="D366">
            <v>1</v>
          </cell>
          <cell r="E366">
            <v>0</v>
          </cell>
          <cell r="F366">
            <v>415</v>
          </cell>
          <cell r="G366" t="str">
            <v>MAP/L</v>
          </cell>
          <cell r="H366" t="str">
            <v>E010</v>
          </cell>
          <cell r="I366">
            <v>50</v>
          </cell>
        </row>
        <row r="367">
          <cell r="C367" t="str">
            <v>264303Y012</v>
          </cell>
          <cell r="D367">
            <v>1</v>
          </cell>
          <cell r="E367">
            <v>0</v>
          </cell>
          <cell r="F367">
            <v>415</v>
          </cell>
          <cell r="G367" t="str">
            <v>MAP/L</v>
          </cell>
          <cell r="H367" t="str">
            <v>E010</v>
          </cell>
          <cell r="I367">
            <v>50</v>
          </cell>
        </row>
        <row r="368">
          <cell r="C368" t="str">
            <v>265103J100</v>
          </cell>
          <cell r="D368">
            <v>3</v>
          </cell>
          <cell r="E368">
            <v>0</v>
          </cell>
          <cell r="F368">
            <v>415</v>
          </cell>
          <cell r="G368" t="str">
            <v>L/L</v>
          </cell>
          <cell r="H368">
            <v>0</v>
          </cell>
          <cell r="I368">
            <v>3300</v>
          </cell>
        </row>
        <row r="369">
          <cell r="C369" t="str">
            <v>265502Y005</v>
          </cell>
          <cell r="D369">
            <v>1</v>
          </cell>
          <cell r="E369">
            <v>0</v>
          </cell>
          <cell r="F369">
            <v>214</v>
          </cell>
          <cell r="G369" t="str">
            <v>RC/L</v>
          </cell>
          <cell r="H369" t="str">
            <v>B000</v>
          </cell>
          <cell r="I369">
            <v>0</v>
          </cell>
        </row>
        <row r="370">
          <cell r="C370" t="str">
            <v>265502Y006</v>
          </cell>
          <cell r="D370">
            <v>1</v>
          </cell>
          <cell r="E370">
            <v>0</v>
          </cell>
          <cell r="F370">
            <v>214</v>
          </cell>
          <cell r="G370" t="str">
            <v>RC/L</v>
          </cell>
          <cell r="H370" t="str">
            <v>B070</v>
          </cell>
          <cell r="I370">
            <v>0</v>
          </cell>
        </row>
        <row r="371">
          <cell r="C371" t="str">
            <v>265502Y007</v>
          </cell>
          <cell r="D371">
            <v>1</v>
          </cell>
          <cell r="E371">
            <v>0</v>
          </cell>
          <cell r="F371">
            <v>214</v>
          </cell>
          <cell r="G371" t="str">
            <v>RC/L</v>
          </cell>
          <cell r="H371" t="str">
            <v>B070</v>
          </cell>
          <cell r="I371">
            <v>0</v>
          </cell>
        </row>
        <row r="372">
          <cell r="C372" t="str">
            <v>265503Y500</v>
          </cell>
          <cell r="D372">
            <v>1</v>
          </cell>
          <cell r="E372">
            <v>0</v>
          </cell>
          <cell r="F372">
            <v>214</v>
          </cell>
          <cell r="G372" t="str">
            <v>RC/L</v>
          </cell>
          <cell r="H372" t="str">
            <v>B070</v>
          </cell>
          <cell r="I372">
            <v>425</v>
          </cell>
        </row>
        <row r="373">
          <cell r="C373" t="str">
            <v>265503Y600</v>
          </cell>
          <cell r="D373">
            <v>1</v>
          </cell>
          <cell r="E373">
            <v>0</v>
          </cell>
          <cell r="F373">
            <v>214</v>
          </cell>
          <cell r="G373" t="str">
            <v>RC/L</v>
          </cell>
          <cell r="H373" t="str">
            <v>B070</v>
          </cell>
          <cell r="I373">
            <v>820</v>
          </cell>
        </row>
        <row r="374">
          <cell r="C374" t="str">
            <v>265902Y000</v>
          </cell>
          <cell r="D374">
            <v>1</v>
          </cell>
          <cell r="E374">
            <v>0</v>
          </cell>
          <cell r="F374">
            <v>415</v>
          </cell>
          <cell r="G374" t="str">
            <v>HMS/L</v>
          </cell>
          <cell r="H374" t="str">
            <v>B050</v>
          </cell>
          <cell r="I374">
            <v>2500</v>
          </cell>
        </row>
        <row r="375">
          <cell r="C375" t="str">
            <v>265902Y001</v>
          </cell>
          <cell r="D375">
            <v>1</v>
          </cell>
          <cell r="E375">
            <v>0</v>
          </cell>
          <cell r="F375">
            <v>415</v>
          </cell>
          <cell r="G375" t="str">
            <v>HMS/L</v>
          </cell>
          <cell r="H375" t="str">
            <v>B050</v>
          </cell>
          <cell r="I375">
            <v>2550</v>
          </cell>
        </row>
        <row r="376">
          <cell r="C376" t="str">
            <v>265902Y002</v>
          </cell>
          <cell r="D376">
            <v>2</v>
          </cell>
          <cell r="E376">
            <v>0</v>
          </cell>
          <cell r="F376">
            <v>415</v>
          </cell>
          <cell r="G376" t="str">
            <v>HMS/L</v>
          </cell>
          <cell r="H376" t="str">
            <v>B050</v>
          </cell>
          <cell r="I376">
            <v>1000</v>
          </cell>
        </row>
        <row r="377">
          <cell r="C377" t="str">
            <v>265902Y200</v>
          </cell>
          <cell r="D377">
            <v>1</v>
          </cell>
          <cell r="E377">
            <v>0</v>
          </cell>
          <cell r="F377">
            <v>415</v>
          </cell>
          <cell r="G377" t="str">
            <v>HMS/L</v>
          </cell>
          <cell r="H377" t="str">
            <v>B060</v>
          </cell>
          <cell r="I377">
            <v>100</v>
          </cell>
        </row>
        <row r="378">
          <cell r="C378" t="str">
            <v>265902Y201</v>
          </cell>
          <cell r="D378">
            <v>1</v>
          </cell>
          <cell r="E378">
            <v>0</v>
          </cell>
          <cell r="F378">
            <v>415</v>
          </cell>
          <cell r="G378" t="str">
            <v>HMS/L</v>
          </cell>
          <cell r="H378" t="str">
            <v>B060</v>
          </cell>
          <cell r="I378">
            <v>100</v>
          </cell>
        </row>
        <row r="379">
          <cell r="C379" t="str">
            <v>265902Y202</v>
          </cell>
          <cell r="D379">
            <v>1</v>
          </cell>
          <cell r="E379">
            <v>0</v>
          </cell>
          <cell r="F379">
            <v>415</v>
          </cell>
          <cell r="G379" t="str">
            <v>HMS/L</v>
          </cell>
          <cell r="H379" t="str">
            <v>B060</v>
          </cell>
          <cell r="I379">
            <v>100</v>
          </cell>
        </row>
        <row r="380">
          <cell r="C380" t="str">
            <v>265902Y501</v>
          </cell>
          <cell r="D380">
            <v>1</v>
          </cell>
          <cell r="E380">
            <v>0</v>
          </cell>
          <cell r="F380">
            <v>414</v>
          </cell>
          <cell r="G380" t="str">
            <v>HMS/L</v>
          </cell>
          <cell r="H380" t="str">
            <v>B050</v>
          </cell>
          <cell r="I380">
            <v>1400</v>
          </cell>
        </row>
        <row r="381">
          <cell r="C381" t="str">
            <v>265902Y502</v>
          </cell>
          <cell r="D381">
            <v>1</v>
          </cell>
          <cell r="E381">
            <v>0</v>
          </cell>
          <cell r="F381">
            <v>414</v>
          </cell>
          <cell r="G381" t="str">
            <v>HMS/L</v>
          </cell>
          <cell r="H381" t="str">
            <v>B050</v>
          </cell>
          <cell r="I381">
            <v>1400</v>
          </cell>
        </row>
        <row r="382">
          <cell r="C382" t="str">
            <v>265903Y500</v>
          </cell>
          <cell r="D382">
            <v>1</v>
          </cell>
          <cell r="E382">
            <v>0</v>
          </cell>
          <cell r="F382">
            <v>414</v>
          </cell>
          <cell r="G382" t="str">
            <v>HMS/L</v>
          </cell>
          <cell r="H382" t="str">
            <v>B050</v>
          </cell>
          <cell r="I382">
            <v>850</v>
          </cell>
        </row>
        <row r="383">
          <cell r="C383" t="str">
            <v>265903Y501</v>
          </cell>
          <cell r="D383">
            <v>1</v>
          </cell>
          <cell r="E383">
            <v>0</v>
          </cell>
          <cell r="F383">
            <v>414</v>
          </cell>
          <cell r="G383" t="str">
            <v>HMS/L</v>
          </cell>
          <cell r="H383" t="str">
            <v>B050</v>
          </cell>
          <cell r="I383">
            <v>850</v>
          </cell>
        </row>
        <row r="384">
          <cell r="C384" t="str">
            <v>265903Y502</v>
          </cell>
          <cell r="D384">
            <v>1</v>
          </cell>
          <cell r="E384">
            <v>0</v>
          </cell>
          <cell r="F384">
            <v>414</v>
          </cell>
          <cell r="G384" t="str">
            <v>HMS/L</v>
          </cell>
          <cell r="H384" t="str">
            <v>B050</v>
          </cell>
          <cell r="I384">
            <v>825</v>
          </cell>
        </row>
        <row r="385">
          <cell r="C385" t="str">
            <v>265903Y601</v>
          </cell>
          <cell r="D385">
            <v>1</v>
          </cell>
          <cell r="E385">
            <v>0</v>
          </cell>
          <cell r="F385">
            <v>414</v>
          </cell>
          <cell r="G385" t="str">
            <v>HMS/L</v>
          </cell>
          <cell r="H385" t="str">
            <v>B050</v>
          </cell>
          <cell r="I385">
            <v>200</v>
          </cell>
        </row>
        <row r="386">
          <cell r="C386" t="str">
            <v>265903Y602</v>
          </cell>
          <cell r="D386">
            <v>1</v>
          </cell>
          <cell r="E386">
            <v>0</v>
          </cell>
          <cell r="F386">
            <v>414</v>
          </cell>
          <cell r="G386" t="str">
            <v>HMS/L</v>
          </cell>
          <cell r="H386" t="str">
            <v>B050</v>
          </cell>
          <cell r="I386">
            <v>300</v>
          </cell>
        </row>
        <row r="387">
          <cell r="C387" t="str">
            <v>265972Y200</v>
          </cell>
          <cell r="D387">
            <v>0</v>
          </cell>
          <cell r="E387">
            <v>0</v>
          </cell>
          <cell r="F387">
            <v>414</v>
          </cell>
          <cell r="G387" t="str">
            <v>HMS/L</v>
          </cell>
          <cell r="H387" t="str">
            <v>B059</v>
          </cell>
          <cell r="I387">
            <v>0</v>
          </cell>
        </row>
        <row r="388">
          <cell r="C388" t="str">
            <v>265982Y200</v>
          </cell>
          <cell r="D388">
            <v>0</v>
          </cell>
          <cell r="E388">
            <v>0</v>
          </cell>
          <cell r="F388">
            <v>414</v>
          </cell>
          <cell r="G388" t="str">
            <v>HMS/L</v>
          </cell>
          <cell r="H388" t="str">
            <v>B059</v>
          </cell>
          <cell r="I388">
            <v>0</v>
          </cell>
        </row>
        <row r="389">
          <cell r="C389" t="str">
            <v>265992Y200</v>
          </cell>
          <cell r="D389">
            <v>0</v>
          </cell>
          <cell r="E389">
            <v>0</v>
          </cell>
          <cell r="F389">
            <v>414</v>
          </cell>
          <cell r="G389" t="str">
            <v>HMS/L</v>
          </cell>
          <cell r="H389" t="str">
            <v>B059</v>
          </cell>
          <cell r="I389">
            <v>0</v>
          </cell>
        </row>
        <row r="390">
          <cell r="C390" t="str">
            <v>288802Y000</v>
          </cell>
          <cell r="D390">
            <v>1</v>
          </cell>
          <cell r="E390">
            <v>0</v>
          </cell>
          <cell r="F390">
            <v>714</v>
          </cell>
          <cell r="G390" t="str">
            <v>W/A</v>
          </cell>
          <cell r="H390" t="str">
            <v>K020</v>
          </cell>
          <cell r="I390">
            <v>425</v>
          </cell>
        </row>
        <row r="391">
          <cell r="C391" t="str">
            <v>288802Y900</v>
          </cell>
          <cell r="D391">
            <v>1</v>
          </cell>
          <cell r="E391">
            <v>0</v>
          </cell>
          <cell r="F391">
            <v>714</v>
          </cell>
          <cell r="G391" t="str">
            <v>W/A</v>
          </cell>
          <cell r="H391" t="str">
            <v>K020</v>
          </cell>
          <cell r="I391">
            <v>820</v>
          </cell>
        </row>
        <row r="392">
          <cell r="C392" t="str">
            <v>288902Y060</v>
          </cell>
          <cell r="D392">
            <v>1</v>
          </cell>
          <cell r="E392">
            <v>0</v>
          </cell>
          <cell r="F392">
            <v>714</v>
          </cell>
          <cell r="G392" t="str">
            <v>W/B</v>
          </cell>
          <cell r="H392" t="str">
            <v>K130</v>
          </cell>
          <cell r="I392">
            <v>0</v>
          </cell>
        </row>
        <row r="393">
          <cell r="C393" t="str">
            <v>288902Y065</v>
          </cell>
          <cell r="D393">
            <v>1</v>
          </cell>
          <cell r="E393">
            <v>0</v>
          </cell>
          <cell r="F393">
            <v>714</v>
          </cell>
          <cell r="G393" t="str">
            <v>W/B</v>
          </cell>
          <cell r="H393" t="str">
            <v>K130</v>
          </cell>
          <cell r="I393">
            <v>0</v>
          </cell>
        </row>
        <row r="394">
          <cell r="C394" t="str">
            <v>963012Y400</v>
          </cell>
          <cell r="D394">
            <v>1</v>
          </cell>
          <cell r="E394">
            <v>0</v>
          </cell>
          <cell r="F394">
            <v>513</v>
          </cell>
          <cell r="G394" t="str">
            <v>D/M</v>
          </cell>
          <cell r="H394" t="str">
            <v>G160</v>
          </cell>
          <cell r="I394">
            <v>2800</v>
          </cell>
        </row>
        <row r="395">
          <cell r="C395" t="str">
            <v>963012Y499</v>
          </cell>
          <cell r="D395">
            <v>1</v>
          </cell>
          <cell r="E395">
            <v>0</v>
          </cell>
          <cell r="F395">
            <v>513</v>
          </cell>
          <cell r="G395" t="str">
            <v>D/M</v>
          </cell>
          <cell r="H395" t="str">
            <v>G160</v>
          </cell>
          <cell r="I395">
            <v>0</v>
          </cell>
        </row>
        <row r="396">
          <cell r="C396" t="str">
            <v>963012Y500</v>
          </cell>
          <cell r="D396">
            <v>1</v>
          </cell>
          <cell r="E396">
            <v>0</v>
          </cell>
          <cell r="F396">
            <v>513</v>
          </cell>
          <cell r="G396" t="str">
            <v>D/M</v>
          </cell>
          <cell r="H396" t="str">
            <v>G160</v>
          </cell>
          <cell r="I396">
            <v>500</v>
          </cell>
        </row>
        <row r="397">
          <cell r="C397" t="str">
            <v>963012Y599</v>
          </cell>
          <cell r="D397">
            <v>1</v>
          </cell>
          <cell r="E397">
            <v>0</v>
          </cell>
          <cell r="F397">
            <v>513</v>
          </cell>
          <cell r="G397" t="str">
            <v>D/M</v>
          </cell>
          <cell r="H397" t="str">
            <v>G160</v>
          </cell>
          <cell r="I397">
            <v>0</v>
          </cell>
        </row>
        <row r="398">
          <cell r="C398" t="str">
            <v>963012Y600</v>
          </cell>
          <cell r="D398">
            <v>1</v>
          </cell>
          <cell r="E398">
            <v>0</v>
          </cell>
          <cell r="F398">
            <v>513</v>
          </cell>
          <cell r="G398" t="str">
            <v>DD/M</v>
          </cell>
          <cell r="H398" t="str">
            <v>G160</v>
          </cell>
          <cell r="I398">
            <v>300</v>
          </cell>
        </row>
        <row r="399">
          <cell r="C399" t="str">
            <v>963012Y700</v>
          </cell>
          <cell r="D399">
            <v>1</v>
          </cell>
          <cell r="E399">
            <v>0</v>
          </cell>
          <cell r="F399">
            <v>513</v>
          </cell>
          <cell r="G399" t="str">
            <v>H.DD/M</v>
          </cell>
          <cell r="H399" t="str">
            <v>G230</v>
          </cell>
          <cell r="I399">
            <v>30</v>
          </cell>
        </row>
        <row r="400">
          <cell r="C400" t="str">
            <v>963013Y200</v>
          </cell>
          <cell r="D400">
            <v>1</v>
          </cell>
          <cell r="E400">
            <v>0</v>
          </cell>
          <cell r="F400">
            <v>513</v>
          </cell>
          <cell r="G400" t="str">
            <v>SD/M</v>
          </cell>
          <cell r="H400" t="str">
            <v>G140</v>
          </cell>
          <cell r="I400">
            <v>1750</v>
          </cell>
        </row>
        <row r="401">
          <cell r="C401" t="str">
            <v>963013Y300</v>
          </cell>
          <cell r="D401">
            <v>1</v>
          </cell>
          <cell r="E401">
            <v>0</v>
          </cell>
          <cell r="F401">
            <v>513</v>
          </cell>
          <cell r="G401" t="str">
            <v>H.SD/M</v>
          </cell>
          <cell r="H401" t="str">
            <v>G220</v>
          </cell>
          <cell r="I401">
            <v>300</v>
          </cell>
        </row>
        <row r="402">
          <cell r="C402" t="str">
            <v>963013Y500</v>
          </cell>
          <cell r="D402">
            <v>1</v>
          </cell>
          <cell r="E402">
            <v>0</v>
          </cell>
          <cell r="F402">
            <v>513</v>
          </cell>
          <cell r="G402" t="str">
            <v>R.CD/M</v>
          </cell>
          <cell r="H402" t="str">
            <v>G150</v>
          </cell>
          <cell r="I402">
            <v>375</v>
          </cell>
        </row>
        <row r="403">
          <cell r="C403" t="str">
            <v>963013Y510</v>
          </cell>
          <cell r="D403">
            <v>1</v>
          </cell>
          <cell r="E403">
            <v>0</v>
          </cell>
          <cell r="F403">
            <v>513</v>
          </cell>
          <cell r="G403" t="str">
            <v>HSD/M</v>
          </cell>
          <cell r="H403" t="str">
            <v>G220</v>
          </cell>
          <cell r="I403">
            <v>50</v>
          </cell>
        </row>
        <row r="404">
          <cell r="C404" t="str">
            <v>963013Y600</v>
          </cell>
          <cell r="D404">
            <v>1</v>
          </cell>
          <cell r="E404">
            <v>0</v>
          </cell>
          <cell r="F404">
            <v>513</v>
          </cell>
          <cell r="G404" t="str">
            <v>R.CD/M</v>
          </cell>
          <cell r="H404" t="str">
            <v>G150</v>
          </cell>
          <cell r="I404">
            <v>720</v>
          </cell>
        </row>
        <row r="405">
          <cell r="C405" t="str">
            <v>963013Y700</v>
          </cell>
          <cell r="D405">
            <v>1</v>
          </cell>
          <cell r="E405">
            <v>0</v>
          </cell>
          <cell r="F405">
            <v>513</v>
          </cell>
          <cell r="G405" t="str">
            <v>HSD/M</v>
          </cell>
          <cell r="H405" t="str">
            <v>G220</v>
          </cell>
          <cell r="I405">
            <v>100</v>
          </cell>
        </row>
        <row r="406">
          <cell r="C406" t="str">
            <v>963013Y800</v>
          </cell>
          <cell r="D406">
            <v>1</v>
          </cell>
          <cell r="E406">
            <v>0</v>
          </cell>
          <cell r="F406">
            <v>513</v>
          </cell>
          <cell r="G406" t="str">
            <v>R.CD/M</v>
          </cell>
          <cell r="H406" t="str">
            <v>G150</v>
          </cell>
          <cell r="I406">
            <v>50</v>
          </cell>
        </row>
        <row r="407">
          <cell r="C407" t="str">
            <v>963013Y900</v>
          </cell>
          <cell r="D407">
            <v>1</v>
          </cell>
          <cell r="E407">
            <v>0</v>
          </cell>
          <cell r="F407">
            <v>513</v>
          </cell>
          <cell r="G407" t="str">
            <v>R.CD/M</v>
          </cell>
          <cell r="H407" t="str">
            <v>G150</v>
          </cell>
          <cell r="I407">
            <v>330</v>
          </cell>
        </row>
        <row r="408">
          <cell r="C408" t="str">
            <v>963014Y000</v>
          </cell>
          <cell r="D408">
            <v>1</v>
          </cell>
          <cell r="E408">
            <v>0</v>
          </cell>
          <cell r="F408">
            <v>513</v>
          </cell>
          <cell r="G408" t="str">
            <v>R.CD/M</v>
          </cell>
          <cell r="H408" t="str">
            <v>G150</v>
          </cell>
          <cell r="I408">
            <v>1300</v>
          </cell>
        </row>
        <row r="409">
          <cell r="C409" t="str">
            <v>963014Y200</v>
          </cell>
          <cell r="D409">
            <v>1</v>
          </cell>
          <cell r="E409">
            <v>0</v>
          </cell>
          <cell r="F409">
            <v>513</v>
          </cell>
          <cell r="G409" t="str">
            <v>R.CD/M</v>
          </cell>
          <cell r="H409" t="str">
            <v>G150</v>
          </cell>
          <cell r="I409">
            <v>100</v>
          </cell>
        </row>
        <row r="410">
          <cell r="C410" t="str">
            <v>963014Y400</v>
          </cell>
          <cell r="D410">
            <v>1</v>
          </cell>
          <cell r="E410">
            <v>0</v>
          </cell>
          <cell r="F410">
            <v>513</v>
          </cell>
          <cell r="G410" t="str">
            <v>DD/M</v>
          </cell>
          <cell r="H410" t="str">
            <v>G160</v>
          </cell>
          <cell r="I410">
            <v>100</v>
          </cell>
        </row>
        <row r="411">
          <cell r="C411" t="str">
            <v>963014Y410</v>
          </cell>
          <cell r="D411">
            <v>1</v>
          </cell>
          <cell r="E411">
            <v>0</v>
          </cell>
          <cell r="F411">
            <v>513</v>
          </cell>
          <cell r="G411" t="str">
            <v>DD/M</v>
          </cell>
          <cell r="H411" t="str">
            <v>G160</v>
          </cell>
          <cell r="I411">
            <v>50</v>
          </cell>
        </row>
        <row r="412">
          <cell r="C412" t="str">
            <v>9630153U01</v>
          </cell>
          <cell r="D412">
            <v>3</v>
          </cell>
          <cell r="E412">
            <v>0</v>
          </cell>
          <cell r="F412">
            <v>513</v>
          </cell>
          <cell r="G412" t="str">
            <v>D/M</v>
          </cell>
          <cell r="H412">
            <v>0</v>
          </cell>
          <cell r="I412">
            <v>200</v>
          </cell>
        </row>
        <row r="413">
          <cell r="C413" t="str">
            <v>9630155U01</v>
          </cell>
          <cell r="D413">
            <v>3</v>
          </cell>
          <cell r="E413">
            <v>0</v>
          </cell>
          <cell r="F413">
            <v>513</v>
          </cell>
          <cell r="G413" t="str">
            <v>D/M</v>
          </cell>
          <cell r="H413">
            <v>0</v>
          </cell>
          <cell r="I413">
            <v>100</v>
          </cell>
        </row>
        <row r="414">
          <cell r="C414" t="str">
            <v>963022Y400</v>
          </cell>
          <cell r="D414">
            <v>1</v>
          </cell>
          <cell r="E414">
            <v>0</v>
          </cell>
          <cell r="F414">
            <v>513</v>
          </cell>
          <cell r="G414" t="str">
            <v>D/M</v>
          </cell>
          <cell r="H414" t="str">
            <v>G160</v>
          </cell>
          <cell r="I414">
            <v>2800</v>
          </cell>
        </row>
        <row r="415">
          <cell r="C415" t="str">
            <v>963022Y499</v>
          </cell>
          <cell r="D415">
            <v>2</v>
          </cell>
          <cell r="E415">
            <v>0</v>
          </cell>
          <cell r="F415">
            <v>513</v>
          </cell>
          <cell r="G415" t="str">
            <v>D/M</v>
          </cell>
          <cell r="H415" t="str">
            <v>G160</v>
          </cell>
          <cell r="I415">
            <v>0</v>
          </cell>
        </row>
        <row r="416">
          <cell r="C416" t="str">
            <v>963022Y500</v>
          </cell>
          <cell r="D416">
            <v>1</v>
          </cell>
          <cell r="E416">
            <v>0</v>
          </cell>
          <cell r="F416">
            <v>513</v>
          </cell>
          <cell r="G416" t="str">
            <v>D/M</v>
          </cell>
          <cell r="H416" t="str">
            <v>G160</v>
          </cell>
          <cell r="I416">
            <v>500</v>
          </cell>
        </row>
        <row r="417">
          <cell r="C417" t="str">
            <v>963022Y599</v>
          </cell>
          <cell r="D417">
            <v>2</v>
          </cell>
          <cell r="E417">
            <v>0</v>
          </cell>
          <cell r="F417">
            <v>513</v>
          </cell>
          <cell r="G417" t="str">
            <v>D/M</v>
          </cell>
          <cell r="H417" t="str">
            <v>G160</v>
          </cell>
          <cell r="I417">
            <v>0</v>
          </cell>
        </row>
        <row r="418">
          <cell r="C418" t="str">
            <v>963022Y600</v>
          </cell>
          <cell r="D418">
            <v>2</v>
          </cell>
          <cell r="E418">
            <v>0</v>
          </cell>
          <cell r="F418">
            <v>513</v>
          </cell>
          <cell r="G418" t="str">
            <v>DD/M</v>
          </cell>
          <cell r="H418" t="str">
            <v>G160</v>
          </cell>
          <cell r="I418">
            <v>300</v>
          </cell>
        </row>
        <row r="419">
          <cell r="C419" t="str">
            <v>963022Y700</v>
          </cell>
          <cell r="D419">
            <v>2</v>
          </cell>
          <cell r="E419">
            <v>0</v>
          </cell>
          <cell r="F419">
            <v>513</v>
          </cell>
          <cell r="G419" t="str">
            <v>H.DD/M</v>
          </cell>
          <cell r="H419" t="str">
            <v>G230</v>
          </cell>
          <cell r="I419">
            <v>30</v>
          </cell>
        </row>
        <row r="420">
          <cell r="C420" t="str">
            <v>963023Y200</v>
          </cell>
          <cell r="D420">
            <v>1</v>
          </cell>
          <cell r="E420">
            <v>0</v>
          </cell>
          <cell r="F420">
            <v>513</v>
          </cell>
          <cell r="G420" t="str">
            <v>SD/M</v>
          </cell>
          <cell r="H420" t="str">
            <v>G140</v>
          </cell>
          <cell r="I420">
            <v>1750</v>
          </cell>
        </row>
        <row r="421">
          <cell r="C421" t="str">
            <v>963023Y300</v>
          </cell>
          <cell r="D421">
            <v>1</v>
          </cell>
          <cell r="E421">
            <v>0</v>
          </cell>
          <cell r="F421">
            <v>513</v>
          </cell>
          <cell r="G421" t="str">
            <v>H.SD/M</v>
          </cell>
          <cell r="H421" t="str">
            <v>G220</v>
          </cell>
          <cell r="I421">
            <v>300</v>
          </cell>
        </row>
        <row r="422">
          <cell r="C422" t="str">
            <v>963023Y500</v>
          </cell>
          <cell r="D422">
            <v>1</v>
          </cell>
          <cell r="E422">
            <v>0</v>
          </cell>
          <cell r="F422">
            <v>513</v>
          </cell>
          <cell r="G422" t="str">
            <v>R.CD/M</v>
          </cell>
          <cell r="H422" t="str">
            <v>G150</v>
          </cell>
          <cell r="I422">
            <v>375</v>
          </cell>
        </row>
        <row r="423">
          <cell r="C423" t="str">
            <v>963023Y510</v>
          </cell>
          <cell r="D423">
            <v>1</v>
          </cell>
          <cell r="E423">
            <v>0</v>
          </cell>
          <cell r="F423">
            <v>513</v>
          </cell>
          <cell r="G423" t="str">
            <v>HSD/M</v>
          </cell>
          <cell r="H423" t="str">
            <v>G220</v>
          </cell>
          <cell r="I423">
            <v>50</v>
          </cell>
        </row>
        <row r="424">
          <cell r="C424" t="str">
            <v>963023Y600</v>
          </cell>
          <cell r="D424">
            <v>1</v>
          </cell>
          <cell r="E424">
            <v>0</v>
          </cell>
          <cell r="F424">
            <v>513</v>
          </cell>
          <cell r="G424" t="str">
            <v>R.CD/M</v>
          </cell>
          <cell r="H424" t="str">
            <v>G150</v>
          </cell>
          <cell r="I424">
            <v>720</v>
          </cell>
        </row>
        <row r="425">
          <cell r="C425" t="str">
            <v>963023Y700</v>
          </cell>
          <cell r="D425">
            <v>1</v>
          </cell>
          <cell r="E425">
            <v>0</v>
          </cell>
          <cell r="F425">
            <v>513</v>
          </cell>
          <cell r="G425" t="str">
            <v>HSD/M</v>
          </cell>
          <cell r="H425" t="str">
            <v>G220</v>
          </cell>
          <cell r="I425">
            <v>100</v>
          </cell>
        </row>
        <row r="426">
          <cell r="C426" t="str">
            <v>963023Y800</v>
          </cell>
          <cell r="D426">
            <v>1</v>
          </cell>
          <cell r="E426">
            <v>0</v>
          </cell>
          <cell r="F426">
            <v>513</v>
          </cell>
          <cell r="G426" t="str">
            <v>R.CD/M</v>
          </cell>
          <cell r="H426" t="str">
            <v>G150</v>
          </cell>
          <cell r="I426">
            <v>50</v>
          </cell>
        </row>
        <row r="427">
          <cell r="C427" t="str">
            <v>963023Y900</v>
          </cell>
          <cell r="D427">
            <v>1</v>
          </cell>
          <cell r="E427">
            <v>0</v>
          </cell>
          <cell r="F427">
            <v>513</v>
          </cell>
          <cell r="G427" t="str">
            <v>R.CD/M</v>
          </cell>
          <cell r="H427" t="str">
            <v>G150</v>
          </cell>
          <cell r="I427">
            <v>330</v>
          </cell>
        </row>
        <row r="428">
          <cell r="C428" t="str">
            <v>963024Y000</v>
          </cell>
          <cell r="D428">
            <v>1</v>
          </cell>
          <cell r="E428">
            <v>0</v>
          </cell>
          <cell r="F428">
            <v>513</v>
          </cell>
          <cell r="G428" t="str">
            <v>R.CD/M</v>
          </cell>
          <cell r="H428" t="str">
            <v>G150</v>
          </cell>
          <cell r="I428">
            <v>1300</v>
          </cell>
        </row>
        <row r="429">
          <cell r="C429" t="str">
            <v>963024Y200</v>
          </cell>
          <cell r="D429">
            <v>1</v>
          </cell>
          <cell r="E429">
            <v>0</v>
          </cell>
          <cell r="F429">
            <v>513</v>
          </cell>
          <cell r="G429" t="str">
            <v>R.CD/M</v>
          </cell>
          <cell r="H429" t="str">
            <v>G150</v>
          </cell>
          <cell r="I429">
            <v>100</v>
          </cell>
        </row>
        <row r="430">
          <cell r="C430" t="str">
            <v>963024Y400</v>
          </cell>
          <cell r="D430">
            <v>1</v>
          </cell>
          <cell r="E430">
            <v>0</v>
          </cell>
          <cell r="F430">
            <v>513</v>
          </cell>
          <cell r="G430" t="str">
            <v>DD/M</v>
          </cell>
          <cell r="H430" t="str">
            <v>G160</v>
          </cell>
          <cell r="I430">
            <v>100</v>
          </cell>
        </row>
        <row r="431">
          <cell r="C431" t="str">
            <v>963024Y410</v>
          </cell>
          <cell r="D431">
            <v>1</v>
          </cell>
          <cell r="E431">
            <v>0</v>
          </cell>
          <cell r="F431">
            <v>513</v>
          </cell>
          <cell r="G431" t="str">
            <v>DD/M</v>
          </cell>
          <cell r="H431" t="str">
            <v>G160</v>
          </cell>
          <cell r="I431">
            <v>50</v>
          </cell>
        </row>
        <row r="432">
          <cell r="C432" t="str">
            <v>9630253U01</v>
          </cell>
          <cell r="D432">
            <v>3</v>
          </cell>
          <cell r="E432">
            <v>0</v>
          </cell>
          <cell r="F432">
            <v>513</v>
          </cell>
          <cell r="G432" t="str">
            <v>D/M</v>
          </cell>
          <cell r="H432">
            <v>0</v>
          </cell>
          <cell r="I432">
            <v>200</v>
          </cell>
        </row>
        <row r="433">
          <cell r="C433" t="str">
            <v>9630255U01</v>
          </cell>
          <cell r="D433">
            <v>3</v>
          </cell>
          <cell r="E433">
            <v>0</v>
          </cell>
          <cell r="F433">
            <v>513</v>
          </cell>
          <cell r="G433" t="str">
            <v>D/M</v>
          </cell>
          <cell r="H433">
            <v>0</v>
          </cell>
          <cell r="I433">
            <v>100</v>
          </cell>
        </row>
        <row r="434">
          <cell r="C434" t="str">
            <v>963212Y001</v>
          </cell>
          <cell r="D434">
            <v>3</v>
          </cell>
          <cell r="E434">
            <v>0</v>
          </cell>
          <cell r="F434">
            <v>563</v>
          </cell>
          <cell r="G434" t="str">
            <v>I/M</v>
          </cell>
          <cell r="H434" t="str">
            <v>H100</v>
          </cell>
          <cell r="I434">
            <v>4000</v>
          </cell>
        </row>
        <row r="435">
          <cell r="C435" t="str">
            <v>963212Y002</v>
          </cell>
          <cell r="D435">
            <v>3</v>
          </cell>
          <cell r="E435">
            <v>0</v>
          </cell>
          <cell r="F435">
            <v>563</v>
          </cell>
          <cell r="G435" t="str">
            <v>I/M</v>
          </cell>
          <cell r="H435" t="str">
            <v>H100</v>
          </cell>
          <cell r="I435">
            <v>4375</v>
          </cell>
        </row>
        <row r="436">
          <cell r="C436" t="str">
            <v>963213Y000</v>
          </cell>
          <cell r="D436">
            <v>1</v>
          </cell>
          <cell r="E436">
            <v>0</v>
          </cell>
          <cell r="F436">
            <v>563</v>
          </cell>
          <cell r="G436" t="str">
            <v>JGP/M</v>
          </cell>
          <cell r="H436" t="str">
            <v>H120</v>
          </cell>
          <cell r="I436">
            <v>1300</v>
          </cell>
        </row>
        <row r="437">
          <cell r="C437" t="str">
            <v>96321AG101</v>
          </cell>
          <cell r="D437">
            <v>3</v>
          </cell>
          <cell r="E437">
            <v>0</v>
          </cell>
          <cell r="F437">
            <v>563</v>
          </cell>
          <cell r="G437" t="str">
            <v>JGP/M</v>
          </cell>
          <cell r="H437">
            <v>0</v>
          </cell>
          <cell r="I437">
            <v>1300</v>
          </cell>
        </row>
        <row r="438">
          <cell r="C438" t="str">
            <v>963293Y000</v>
          </cell>
          <cell r="D438">
            <v>1</v>
          </cell>
          <cell r="E438">
            <v>0</v>
          </cell>
          <cell r="F438">
            <v>563</v>
          </cell>
          <cell r="G438" t="str">
            <v>JGP/C0</v>
          </cell>
          <cell r="H438" t="str">
            <v>H129</v>
          </cell>
          <cell r="I438">
            <v>1300</v>
          </cell>
        </row>
        <row r="439">
          <cell r="C439" t="str">
            <v>963293Y001</v>
          </cell>
          <cell r="D439">
            <v>1</v>
          </cell>
          <cell r="E439">
            <v>0</v>
          </cell>
          <cell r="F439">
            <v>563</v>
          </cell>
          <cell r="G439" t="str">
            <v>JGP/C0</v>
          </cell>
          <cell r="H439" t="str">
            <v>H129</v>
          </cell>
          <cell r="I439">
            <v>1300</v>
          </cell>
        </row>
        <row r="440">
          <cell r="C440" t="str">
            <v>963732Y200</v>
          </cell>
          <cell r="D440">
            <v>1</v>
          </cell>
          <cell r="E440">
            <v>0</v>
          </cell>
          <cell r="F440">
            <v>513</v>
          </cell>
          <cell r="G440" t="str">
            <v>D/M-C0</v>
          </cell>
          <cell r="H440" t="str">
            <v>G169</v>
          </cell>
          <cell r="I440">
            <v>3300</v>
          </cell>
        </row>
        <row r="441">
          <cell r="C441" t="str">
            <v>963732Y201</v>
          </cell>
          <cell r="D441">
            <v>1</v>
          </cell>
          <cell r="E441">
            <v>0</v>
          </cell>
          <cell r="F441">
            <v>513</v>
          </cell>
          <cell r="G441" t="str">
            <v>D/MC0V</v>
          </cell>
          <cell r="H441" t="str">
            <v>G169</v>
          </cell>
          <cell r="I441">
            <v>500</v>
          </cell>
        </row>
        <row r="442">
          <cell r="C442" t="str">
            <v>963732Y202</v>
          </cell>
          <cell r="D442">
            <v>1</v>
          </cell>
          <cell r="E442">
            <v>0</v>
          </cell>
          <cell r="F442">
            <v>513</v>
          </cell>
          <cell r="G442" t="str">
            <v>D/MC0V</v>
          </cell>
          <cell r="H442" t="str">
            <v>G169</v>
          </cell>
          <cell r="I442">
            <v>500</v>
          </cell>
        </row>
        <row r="443">
          <cell r="C443" t="str">
            <v>963732Y203</v>
          </cell>
          <cell r="D443">
            <v>1</v>
          </cell>
          <cell r="E443">
            <v>0</v>
          </cell>
          <cell r="F443">
            <v>513</v>
          </cell>
          <cell r="G443" t="str">
            <v>D/MC0V</v>
          </cell>
          <cell r="H443" t="str">
            <v>G169</v>
          </cell>
          <cell r="I443">
            <v>500</v>
          </cell>
        </row>
        <row r="444">
          <cell r="C444" t="str">
            <v>963732Y204</v>
          </cell>
          <cell r="D444">
            <v>1</v>
          </cell>
          <cell r="E444">
            <v>0</v>
          </cell>
          <cell r="F444">
            <v>513</v>
          </cell>
          <cell r="G444" t="str">
            <v>D/MC0V</v>
          </cell>
          <cell r="H444" t="str">
            <v>G169</v>
          </cell>
          <cell r="I444">
            <v>500</v>
          </cell>
        </row>
        <row r="445">
          <cell r="C445" t="str">
            <v>963732Y205</v>
          </cell>
          <cell r="D445">
            <v>1</v>
          </cell>
          <cell r="E445">
            <v>0</v>
          </cell>
          <cell r="F445">
            <v>513</v>
          </cell>
          <cell r="G445" t="str">
            <v>D/MC0V</v>
          </cell>
          <cell r="H445" t="str">
            <v>G169</v>
          </cell>
          <cell r="I445">
            <v>500</v>
          </cell>
        </row>
        <row r="446">
          <cell r="C446" t="str">
            <v>963732Y206</v>
          </cell>
          <cell r="D446">
            <v>1</v>
          </cell>
          <cell r="E446">
            <v>0</v>
          </cell>
          <cell r="F446">
            <v>513</v>
          </cell>
          <cell r="G446" t="str">
            <v>D/MC0V</v>
          </cell>
          <cell r="H446" t="str">
            <v>G169</v>
          </cell>
          <cell r="I446">
            <v>300</v>
          </cell>
        </row>
        <row r="447">
          <cell r="C447" t="str">
            <v>963742Y200</v>
          </cell>
          <cell r="D447">
            <v>1</v>
          </cell>
          <cell r="E447">
            <v>0</v>
          </cell>
          <cell r="F447">
            <v>513</v>
          </cell>
          <cell r="G447" t="str">
            <v>D/M-C0</v>
          </cell>
          <cell r="H447" t="str">
            <v>G169</v>
          </cell>
          <cell r="I447">
            <v>3300</v>
          </cell>
        </row>
        <row r="448">
          <cell r="C448" t="str">
            <v>963742Y201</v>
          </cell>
          <cell r="D448">
            <v>1</v>
          </cell>
          <cell r="E448">
            <v>0</v>
          </cell>
          <cell r="F448">
            <v>513</v>
          </cell>
          <cell r="G448" t="str">
            <v>D/MC0V</v>
          </cell>
          <cell r="H448" t="str">
            <v>G169</v>
          </cell>
          <cell r="I448">
            <v>500</v>
          </cell>
        </row>
        <row r="449">
          <cell r="C449" t="str">
            <v>963742Y202</v>
          </cell>
          <cell r="D449">
            <v>1</v>
          </cell>
          <cell r="E449">
            <v>0</v>
          </cell>
          <cell r="F449">
            <v>513</v>
          </cell>
          <cell r="G449" t="str">
            <v>D/MC0V</v>
          </cell>
          <cell r="H449" t="str">
            <v>G169</v>
          </cell>
          <cell r="I449">
            <v>500</v>
          </cell>
        </row>
        <row r="450">
          <cell r="C450" t="str">
            <v>963742Y203</v>
          </cell>
          <cell r="D450">
            <v>1</v>
          </cell>
          <cell r="E450">
            <v>0</v>
          </cell>
          <cell r="F450">
            <v>513</v>
          </cell>
          <cell r="G450" t="str">
            <v>D/MC0V</v>
          </cell>
          <cell r="H450" t="str">
            <v>G169</v>
          </cell>
          <cell r="I450">
            <v>500</v>
          </cell>
        </row>
        <row r="451">
          <cell r="C451" t="str">
            <v>963742Y204</v>
          </cell>
          <cell r="D451">
            <v>1</v>
          </cell>
          <cell r="E451">
            <v>0</v>
          </cell>
          <cell r="F451">
            <v>513</v>
          </cell>
          <cell r="G451" t="str">
            <v>D/MC0V</v>
          </cell>
          <cell r="H451" t="str">
            <v>G169</v>
          </cell>
          <cell r="I451">
            <v>500</v>
          </cell>
        </row>
        <row r="452">
          <cell r="C452" t="str">
            <v>963742Y205</v>
          </cell>
          <cell r="D452">
            <v>1</v>
          </cell>
          <cell r="E452">
            <v>0</v>
          </cell>
          <cell r="F452">
            <v>513</v>
          </cell>
          <cell r="G452" t="str">
            <v>D/MC0V</v>
          </cell>
          <cell r="H452" t="str">
            <v>G169</v>
          </cell>
          <cell r="I452">
            <v>500</v>
          </cell>
        </row>
        <row r="453">
          <cell r="C453" t="str">
            <v>963742Y206</v>
          </cell>
          <cell r="D453">
            <v>1</v>
          </cell>
          <cell r="E453">
            <v>0</v>
          </cell>
          <cell r="F453">
            <v>513</v>
          </cell>
          <cell r="G453" t="str">
            <v>D/MC0V</v>
          </cell>
          <cell r="H453" t="str">
            <v>G169</v>
          </cell>
          <cell r="I453">
            <v>300</v>
          </cell>
        </row>
        <row r="454">
          <cell r="C454" t="str">
            <v>260105J000</v>
          </cell>
          <cell r="D454">
            <v>3</v>
          </cell>
          <cell r="E454">
            <v>0</v>
          </cell>
          <cell r="F454">
            <v>151</v>
          </cell>
          <cell r="G454" t="str">
            <v>H/L</v>
          </cell>
          <cell r="H454">
            <v>0</v>
          </cell>
          <cell r="I454">
            <v>3250</v>
          </cell>
        </row>
        <row r="455">
          <cell r="C455" t="str">
            <v>260106J000</v>
          </cell>
          <cell r="D455">
            <v>1</v>
          </cell>
          <cell r="E455">
            <v>0</v>
          </cell>
          <cell r="F455">
            <v>151</v>
          </cell>
          <cell r="G455" t="str">
            <v>H/L</v>
          </cell>
          <cell r="H455" t="str">
            <v>A400</v>
          </cell>
          <cell r="I455">
            <v>750</v>
          </cell>
        </row>
        <row r="456">
          <cell r="C456" t="str">
            <v>260406J000</v>
          </cell>
          <cell r="D456">
            <v>2</v>
          </cell>
          <cell r="E456">
            <v>0</v>
          </cell>
          <cell r="F456">
            <v>151</v>
          </cell>
          <cell r="G456" t="str">
            <v>H/L-A</v>
          </cell>
          <cell r="H456" t="str">
            <v>A409</v>
          </cell>
          <cell r="I456">
            <v>750</v>
          </cell>
        </row>
        <row r="457">
          <cell r="C457" t="str">
            <v>260593H000</v>
          </cell>
          <cell r="D457">
            <v>3</v>
          </cell>
          <cell r="E457">
            <v>0</v>
          </cell>
          <cell r="F457">
            <v>151</v>
          </cell>
          <cell r="G457" t="str">
            <v>LABEL</v>
          </cell>
          <cell r="H457">
            <v>0</v>
          </cell>
          <cell r="I457">
            <v>100</v>
          </cell>
        </row>
        <row r="458">
          <cell r="C458" t="str">
            <v>260595P700</v>
          </cell>
          <cell r="D458">
            <v>3</v>
          </cell>
          <cell r="E458">
            <v>0</v>
          </cell>
          <cell r="F458">
            <v>151</v>
          </cell>
          <cell r="G458" t="str">
            <v>H/LLAB</v>
          </cell>
          <cell r="H458" t="str">
            <v>A359</v>
          </cell>
          <cell r="I458">
            <v>1500</v>
          </cell>
        </row>
        <row r="459">
          <cell r="C459" t="str">
            <v>260605J000</v>
          </cell>
          <cell r="D459">
            <v>3</v>
          </cell>
          <cell r="E459">
            <v>0</v>
          </cell>
          <cell r="F459">
            <v>151</v>
          </cell>
          <cell r="G459" t="str">
            <v>H/L</v>
          </cell>
          <cell r="H459">
            <v>0</v>
          </cell>
          <cell r="I459">
            <v>3250</v>
          </cell>
        </row>
        <row r="460">
          <cell r="C460" t="str">
            <v>260606J000</v>
          </cell>
          <cell r="D460">
            <v>1</v>
          </cell>
          <cell r="E460">
            <v>0</v>
          </cell>
          <cell r="F460">
            <v>151</v>
          </cell>
          <cell r="G460" t="str">
            <v>H/L</v>
          </cell>
          <cell r="H460" t="str">
            <v>A400</v>
          </cell>
          <cell r="I460">
            <v>750</v>
          </cell>
        </row>
        <row r="461">
          <cell r="C461" t="str">
            <v>260906J000</v>
          </cell>
          <cell r="D461">
            <v>2</v>
          </cell>
          <cell r="E461">
            <v>0</v>
          </cell>
          <cell r="F461">
            <v>151</v>
          </cell>
          <cell r="G461" t="str">
            <v>H/L-A</v>
          </cell>
          <cell r="H461" t="str">
            <v>A409</v>
          </cell>
          <cell r="I461">
            <v>750</v>
          </cell>
        </row>
        <row r="462">
          <cell r="C462" t="str">
            <v>261505J000</v>
          </cell>
          <cell r="D462">
            <v>3</v>
          </cell>
          <cell r="E462">
            <v>0</v>
          </cell>
          <cell r="F462">
            <v>415</v>
          </cell>
          <cell r="G462" t="str">
            <v>F/L</v>
          </cell>
          <cell r="H462">
            <v>0</v>
          </cell>
          <cell r="I462">
            <v>1900</v>
          </cell>
        </row>
        <row r="463">
          <cell r="C463" t="str">
            <v>261507J100</v>
          </cell>
          <cell r="D463">
            <v>1</v>
          </cell>
          <cell r="E463">
            <v>0</v>
          </cell>
          <cell r="F463">
            <v>415</v>
          </cell>
          <cell r="G463" t="str">
            <v>F/L</v>
          </cell>
          <cell r="H463" t="str">
            <v>D300</v>
          </cell>
          <cell r="I463">
            <v>1500</v>
          </cell>
        </row>
        <row r="464">
          <cell r="C464" t="str">
            <v>261555J000</v>
          </cell>
          <cell r="D464">
            <v>3</v>
          </cell>
          <cell r="E464">
            <v>0</v>
          </cell>
          <cell r="F464">
            <v>415</v>
          </cell>
          <cell r="G464" t="str">
            <v>F/L</v>
          </cell>
          <cell r="H464">
            <v>0</v>
          </cell>
          <cell r="I464">
            <v>1900</v>
          </cell>
        </row>
        <row r="465">
          <cell r="C465" t="str">
            <v>261557J100</v>
          </cell>
          <cell r="D465">
            <v>1</v>
          </cell>
          <cell r="E465">
            <v>0</v>
          </cell>
          <cell r="F465">
            <v>415</v>
          </cell>
          <cell r="G465" t="str">
            <v>F/L</v>
          </cell>
          <cell r="H465" t="str">
            <v>D300</v>
          </cell>
          <cell r="I465">
            <v>1500</v>
          </cell>
        </row>
        <row r="466">
          <cell r="C466" t="str">
            <v>261573J100</v>
          </cell>
          <cell r="D466">
            <v>3</v>
          </cell>
          <cell r="E466">
            <v>0</v>
          </cell>
          <cell r="F466">
            <v>415</v>
          </cell>
          <cell r="G466" t="str">
            <v>R1M</v>
          </cell>
          <cell r="H466">
            <v>0</v>
          </cell>
          <cell r="I466">
            <v>1900</v>
          </cell>
        </row>
        <row r="467">
          <cell r="C467" t="str">
            <v>261595J000</v>
          </cell>
          <cell r="D467">
            <v>3</v>
          </cell>
          <cell r="E467">
            <v>0</v>
          </cell>
          <cell r="F467">
            <v>415</v>
          </cell>
          <cell r="G467" t="str">
            <v>UNIT</v>
          </cell>
          <cell r="H467">
            <v>0</v>
          </cell>
          <cell r="I467">
            <v>1900</v>
          </cell>
        </row>
        <row r="468">
          <cell r="C468" t="str">
            <v>261597J100</v>
          </cell>
          <cell r="D468">
            <v>2</v>
          </cell>
          <cell r="E468">
            <v>0</v>
          </cell>
          <cell r="F468">
            <v>415</v>
          </cell>
          <cell r="G468" t="str">
            <v>F/L</v>
          </cell>
          <cell r="H468" t="str">
            <v>D309</v>
          </cell>
          <cell r="I468">
            <v>1500</v>
          </cell>
        </row>
        <row r="469">
          <cell r="C469" t="str">
            <v>261601N000</v>
          </cell>
          <cell r="D469">
            <v>3</v>
          </cell>
          <cell r="E469">
            <v>0</v>
          </cell>
          <cell r="F469">
            <v>415</v>
          </cell>
          <cell r="G469" t="str">
            <v>S.F/L</v>
          </cell>
          <cell r="H469">
            <v>0</v>
          </cell>
          <cell r="I469">
            <v>3000</v>
          </cell>
        </row>
        <row r="470">
          <cell r="C470" t="str">
            <v>2616040Y00</v>
          </cell>
          <cell r="D470">
            <v>3</v>
          </cell>
          <cell r="E470">
            <v>0</v>
          </cell>
          <cell r="F470">
            <v>415</v>
          </cell>
          <cell r="G470" t="str">
            <v>S.F/L</v>
          </cell>
          <cell r="H470">
            <v>0</v>
          </cell>
          <cell r="I470">
            <v>3800</v>
          </cell>
        </row>
        <row r="471">
          <cell r="C471" t="str">
            <v>261907J100</v>
          </cell>
          <cell r="D471">
            <v>1</v>
          </cell>
          <cell r="E471">
            <v>0</v>
          </cell>
          <cell r="F471">
            <v>415</v>
          </cell>
          <cell r="G471" t="str">
            <v>R.SM/L</v>
          </cell>
          <cell r="H471" t="str">
            <v>B210</v>
          </cell>
          <cell r="I471">
            <v>1500</v>
          </cell>
        </row>
        <row r="472">
          <cell r="C472" t="str">
            <v>261957J100</v>
          </cell>
          <cell r="D472">
            <v>1</v>
          </cell>
          <cell r="E472">
            <v>0</v>
          </cell>
          <cell r="F472">
            <v>415</v>
          </cell>
          <cell r="G472" t="str">
            <v>R.SM/L</v>
          </cell>
          <cell r="H472" t="str">
            <v>B210</v>
          </cell>
          <cell r="I472">
            <v>1500</v>
          </cell>
        </row>
        <row r="473">
          <cell r="C473" t="str">
            <v>264107J103</v>
          </cell>
          <cell r="D473">
            <v>2</v>
          </cell>
          <cell r="E473">
            <v>0</v>
          </cell>
          <cell r="F473">
            <v>415</v>
          </cell>
          <cell r="G473" t="str">
            <v>R/L</v>
          </cell>
          <cell r="H473" t="str">
            <v>D100</v>
          </cell>
          <cell r="I473">
            <v>1000</v>
          </cell>
        </row>
        <row r="474">
          <cell r="C474" t="str">
            <v>264307J108</v>
          </cell>
          <cell r="D474">
            <v>2</v>
          </cell>
          <cell r="E474">
            <v>0</v>
          </cell>
          <cell r="F474">
            <v>415</v>
          </cell>
          <cell r="G474" t="str">
            <v>MAP</v>
          </cell>
          <cell r="H474" t="str">
            <v>E010</v>
          </cell>
          <cell r="I474">
            <v>1000</v>
          </cell>
        </row>
        <row r="475">
          <cell r="C475" t="str">
            <v>265101L000</v>
          </cell>
          <cell r="D475">
            <v>3</v>
          </cell>
          <cell r="E475">
            <v>0</v>
          </cell>
          <cell r="F475">
            <v>415</v>
          </cell>
          <cell r="G475" t="str">
            <v>L/L</v>
          </cell>
          <cell r="H475">
            <v>0</v>
          </cell>
          <cell r="I475">
            <v>3400</v>
          </cell>
        </row>
        <row r="476">
          <cell r="C476" t="str">
            <v>265103J100</v>
          </cell>
          <cell r="D476">
            <v>3</v>
          </cell>
          <cell r="E476">
            <v>0</v>
          </cell>
          <cell r="F476">
            <v>415</v>
          </cell>
          <cell r="G476" t="str">
            <v>L/L</v>
          </cell>
          <cell r="H476">
            <v>0</v>
          </cell>
          <cell r="I476">
            <v>9000</v>
          </cell>
        </row>
        <row r="477">
          <cell r="C477" t="str">
            <v>265506J005</v>
          </cell>
          <cell r="D477">
            <v>0</v>
          </cell>
          <cell r="E477">
            <v>0</v>
          </cell>
          <cell r="F477">
            <v>214</v>
          </cell>
          <cell r="G477" t="str">
            <v>R.C/L</v>
          </cell>
          <cell r="H477" t="str">
            <v>B000</v>
          </cell>
          <cell r="I477">
            <v>1000</v>
          </cell>
        </row>
        <row r="478">
          <cell r="C478" t="str">
            <v>265506J011</v>
          </cell>
          <cell r="D478">
            <v>1</v>
          </cell>
          <cell r="E478">
            <v>0</v>
          </cell>
          <cell r="F478">
            <v>214</v>
          </cell>
          <cell r="G478" t="str">
            <v>R.C/L</v>
          </cell>
          <cell r="H478" t="str">
            <v>B070</v>
          </cell>
          <cell r="I478">
            <v>2500</v>
          </cell>
        </row>
        <row r="479">
          <cell r="C479" t="str">
            <v>265506J015</v>
          </cell>
          <cell r="D479">
            <v>0</v>
          </cell>
          <cell r="E479">
            <v>0</v>
          </cell>
          <cell r="F479">
            <v>214</v>
          </cell>
          <cell r="G479" t="str">
            <v>R.C/L</v>
          </cell>
          <cell r="H479" t="str">
            <v>B000</v>
          </cell>
          <cell r="I479">
            <v>2000</v>
          </cell>
        </row>
        <row r="480">
          <cell r="C480" t="str">
            <v>265506J016</v>
          </cell>
          <cell r="D480">
            <v>0</v>
          </cell>
          <cell r="E480">
            <v>0</v>
          </cell>
          <cell r="F480">
            <v>214</v>
          </cell>
          <cell r="G480" t="str">
            <v>RC/L</v>
          </cell>
          <cell r="H480" t="str">
            <v>B070</v>
          </cell>
          <cell r="I480">
            <v>0</v>
          </cell>
        </row>
        <row r="481">
          <cell r="C481" t="str">
            <v>265507J000</v>
          </cell>
          <cell r="D481">
            <v>1</v>
          </cell>
          <cell r="E481">
            <v>0</v>
          </cell>
          <cell r="F481">
            <v>214</v>
          </cell>
          <cell r="G481" t="str">
            <v>R.C/L</v>
          </cell>
          <cell r="H481" t="str">
            <v>B000</v>
          </cell>
          <cell r="I481">
            <v>4500</v>
          </cell>
        </row>
        <row r="482">
          <cell r="C482" t="str">
            <v>265507J001</v>
          </cell>
          <cell r="D482">
            <v>1</v>
          </cell>
          <cell r="E482">
            <v>0</v>
          </cell>
          <cell r="F482">
            <v>214</v>
          </cell>
          <cell r="G482" t="str">
            <v>R.C/L</v>
          </cell>
          <cell r="H482" t="str">
            <v>B070</v>
          </cell>
          <cell r="I482">
            <v>4500</v>
          </cell>
        </row>
        <row r="483">
          <cell r="C483" t="str">
            <v>265507J019</v>
          </cell>
          <cell r="D483">
            <v>2</v>
          </cell>
          <cell r="E483">
            <v>0</v>
          </cell>
          <cell r="F483">
            <v>214</v>
          </cell>
          <cell r="G483" t="str">
            <v>R.C/L</v>
          </cell>
          <cell r="H483" t="str">
            <v>B000</v>
          </cell>
          <cell r="I483">
            <v>0</v>
          </cell>
        </row>
        <row r="484">
          <cell r="C484" t="str">
            <v>265507J101</v>
          </cell>
          <cell r="D484">
            <v>1</v>
          </cell>
          <cell r="E484">
            <v>0</v>
          </cell>
          <cell r="F484">
            <v>214</v>
          </cell>
          <cell r="G484" t="str">
            <v>R.C/L</v>
          </cell>
          <cell r="H484" t="str">
            <v>B070</v>
          </cell>
          <cell r="I484">
            <v>1400</v>
          </cell>
        </row>
        <row r="485">
          <cell r="C485" t="str">
            <v>265556J005</v>
          </cell>
          <cell r="D485">
            <v>0</v>
          </cell>
          <cell r="E485">
            <v>0</v>
          </cell>
          <cell r="F485">
            <v>214</v>
          </cell>
          <cell r="G485" t="str">
            <v>R.C/L</v>
          </cell>
          <cell r="H485" t="str">
            <v>B000</v>
          </cell>
          <cell r="I485">
            <v>1000</v>
          </cell>
        </row>
        <row r="486">
          <cell r="C486" t="str">
            <v>265556J011</v>
          </cell>
          <cell r="D486">
            <v>1</v>
          </cell>
          <cell r="E486">
            <v>0</v>
          </cell>
          <cell r="F486">
            <v>214</v>
          </cell>
          <cell r="G486" t="str">
            <v>R.C/L</v>
          </cell>
          <cell r="H486" t="str">
            <v>B070</v>
          </cell>
          <cell r="I486">
            <v>2500</v>
          </cell>
        </row>
        <row r="487">
          <cell r="C487" t="str">
            <v>265556J015</v>
          </cell>
          <cell r="D487">
            <v>0</v>
          </cell>
          <cell r="E487">
            <v>0</v>
          </cell>
          <cell r="F487">
            <v>214</v>
          </cell>
          <cell r="G487" t="str">
            <v>R.C/L</v>
          </cell>
          <cell r="H487" t="str">
            <v>B000</v>
          </cell>
          <cell r="I487">
            <v>2000</v>
          </cell>
        </row>
        <row r="488">
          <cell r="C488" t="str">
            <v>265556J016</v>
          </cell>
          <cell r="D488">
            <v>0</v>
          </cell>
          <cell r="E488">
            <v>0</v>
          </cell>
          <cell r="F488">
            <v>214</v>
          </cell>
          <cell r="G488" t="str">
            <v>RC/L</v>
          </cell>
          <cell r="H488" t="str">
            <v>B070</v>
          </cell>
          <cell r="I488">
            <v>0</v>
          </cell>
        </row>
        <row r="489">
          <cell r="C489" t="str">
            <v>265557J000</v>
          </cell>
          <cell r="D489">
            <v>1</v>
          </cell>
          <cell r="E489">
            <v>0</v>
          </cell>
          <cell r="F489">
            <v>214</v>
          </cell>
          <cell r="G489" t="str">
            <v>R.C/L</v>
          </cell>
          <cell r="H489" t="str">
            <v>B000</v>
          </cell>
          <cell r="I489">
            <v>4500</v>
          </cell>
        </row>
        <row r="490">
          <cell r="C490" t="str">
            <v>265557J001</v>
          </cell>
          <cell r="D490">
            <v>1</v>
          </cell>
          <cell r="E490">
            <v>0</v>
          </cell>
          <cell r="F490">
            <v>214</v>
          </cell>
          <cell r="G490" t="str">
            <v>R.C/L</v>
          </cell>
          <cell r="H490" t="str">
            <v>B070</v>
          </cell>
          <cell r="I490">
            <v>4500</v>
          </cell>
        </row>
        <row r="491">
          <cell r="C491" t="str">
            <v>265557J019</v>
          </cell>
          <cell r="D491">
            <v>2</v>
          </cell>
          <cell r="E491">
            <v>0</v>
          </cell>
          <cell r="F491">
            <v>214</v>
          </cell>
          <cell r="G491" t="str">
            <v>R.C/L</v>
          </cell>
          <cell r="H491" t="str">
            <v>B000</v>
          </cell>
          <cell r="I491">
            <v>0</v>
          </cell>
        </row>
        <row r="492">
          <cell r="C492" t="str">
            <v>265557J101</v>
          </cell>
          <cell r="D492">
            <v>1</v>
          </cell>
          <cell r="E492">
            <v>0</v>
          </cell>
          <cell r="F492">
            <v>214</v>
          </cell>
          <cell r="G492" t="str">
            <v>R.C/L</v>
          </cell>
          <cell r="H492" t="str">
            <v>B070</v>
          </cell>
          <cell r="I492">
            <v>1400</v>
          </cell>
        </row>
        <row r="493">
          <cell r="C493" t="str">
            <v>265905J000</v>
          </cell>
          <cell r="D493">
            <v>3</v>
          </cell>
          <cell r="E493">
            <v>0</v>
          </cell>
          <cell r="F493">
            <v>411</v>
          </cell>
          <cell r="G493" t="str">
            <v>H.MS/L</v>
          </cell>
          <cell r="H493">
            <v>0</v>
          </cell>
          <cell r="I493">
            <v>400</v>
          </cell>
        </row>
        <row r="494">
          <cell r="C494" t="str">
            <v>265905J010</v>
          </cell>
          <cell r="D494">
            <v>3</v>
          </cell>
          <cell r="E494">
            <v>0</v>
          </cell>
          <cell r="F494">
            <v>411</v>
          </cell>
          <cell r="G494" t="str">
            <v>H.MS/L</v>
          </cell>
          <cell r="H494">
            <v>0</v>
          </cell>
          <cell r="I494">
            <v>300</v>
          </cell>
        </row>
        <row r="495">
          <cell r="C495" t="str">
            <v>265907J100</v>
          </cell>
          <cell r="D495">
            <v>2</v>
          </cell>
          <cell r="E495">
            <v>0</v>
          </cell>
          <cell r="F495">
            <v>415</v>
          </cell>
          <cell r="G495" t="str">
            <v>H.MS/L</v>
          </cell>
          <cell r="H495" t="str">
            <v>B050</v>
          </cell>
          <cell r="I495">
            <v>700</v>
          </cell>
        </row>
        <row r="496">
          <cell r="C496" t="str">
            <v>288816J000</v>
          </cell>
          <cell r="D496">
            <v>2</v>
          </cell>
          <cell r="E496">
            <v>0</v>
          </cell>
          <cell r="F496">
            <v>714</v>
          </cell>
          <cell r="G496" t="str">
            <v>W/A</v>
          </cell>
          <cell r="H496" t="str">
            <v>K000</v>
          </cell>
          <cell r="I496">
            <v>5300</v>
          </cell>
        </row>
        <row r="497">
          <cell r="C497" t="str">
            <v>288817J101</v>
          </cell>
          <cell r="D497">
            <v>0</v>
          </cell>
          <cell r="E497">
            <v>0</v>
          </cell>
          <cell r="F497">
            <v>714</v>
          </cell>
          <cell r="G497" t="str">
            <v>W/A</v>
          </cell>
          <cell r="H497" t="str">
            <v>K020</v>
          </cell>
          <cell r="I497">
            <v>0</v>
          </cell>
        </row>
        <row r="498">
          <cell r="C498" t="str">
            <v>288826J000</v>
          </cell>
          <cell r="D498">
            <v>2</v>
          </cell>
          <cell r="E498">
            <v>0</v>
          </cell>
          <cell r="F498">
            <v>714</v>
          </cell>
          <cell r="G498" t="str">
            <v>C0VER</v>
          </cell>
          <cell r="H498" t="str">
            <v>K029</v>
          </cell>
          <cell r="I498">
            <v>13600</v>
          </cell>
        </row>
        <row r="499">
          <cell r="C499" t="str">
            <v>288866J000</v>
          </cell>
          <cell r="D499">
            <v>1</v>
          </cell>
          <cell r="E499">
            <v>0</v>
          </cell>
          <cell r="F499">
            <v>714</v>
          </cell>
          <cell r="G499" t="str">
            <v>W/A</v>
          </cell>
          <cell r="H499" t="str">
            <v>K000</v>
          </cell>
          <cell r="I499">
            <v>5300</v>
          </cell>
        </row>
        <row r="500">
          <cell r="C500" t="str">
            <v>288867J101</v>
          </cell>
          <cell r="D500">
            <v>0</v>
          </cell>
          <cell r="E500">
            <v>0</v>
          </cell>
          <cell r="F500">
            <v>714</v>
          </cell>
          <cell r="G500" t="str">
            <v>W/A</v>
          </cell>
          <cell r="H500" t="str">
            <v>K020</v>
          </cell>
          <cell r="I500">
            <v>0</v>
          </cell>
        </row>
        <row r="501">
          <cell r="C501" t="str">
            <v>288906J000</v>
          </cell>
          <cell r="D501">
            <v>2</v>
          </cell>
          <cell r="E501">
            <v>0</v>
          </cell>
          <cell r="F501">
            <v>714</v>
          </cell>
          <cell r="G501" t="str">
            <v>W/B</v>
          </cell>
          <cell r="H501" t="str">
            <v>K100</v>
          </cell>
          <cell r="I501">
            <v>5300</v>
          </cell>
        </row>
        <row r="502">
          <cell r="C502" t="str">
            <v>288906J010</v>
          </cell>
          <cell r="D502">
            <v>2</v>
          </cell>
          <cell r="E502">
            <v>0</v>
          </cell>
          <cell r="F502">
            <v>714</v>
          </cell>
          <cell r="G502" t="str">
            <v>W/B</v>
          </cell>
          <cell r="H502" t="str">
            <v>K100</v>
          </cell>
          <cell r="I502">
            <v>5300</v>
          </cell>
        </row>
        <row r="503">
          <cell r="C503" t="str">
            <v>288907J101</v>
          </cell>
          <cell r="D503">
            <v>0</v>
          </cell>
          <cell r="E503">
            <v>0</v>
          </cell>
          <cell r="F503">
            <v>714</v>
          </cell>
          <cell r="G503" t="str">
            <v>W/B</v>
          </cell>
          <cell r="H503" t="str">
            <v>K120</v>
          </cell>
          <cell r="I503">
            <v>0</v>
          </cell>
        </row>
        <row r="504">
          <cell r="C504" t="str">
            <v>288907J111</v>
          </cell>
          <cell r="D504">
            <v>0</v>
          </cell>
          <cell r="E504">
            <v>0</v>
          </cell>
          <cell r="F504">
            <v>714</v>
          </cell>
          <cell r="G504" t="str">
            <v>W/B</v>
          </cell>
          <cell r="H504" t="str">
            <v>K120</v>
          </cell>
          <cell r="I504">
            <v>0</v>
          </cell>
        </row>
        <row r="505">
          <cell r="C505" t="str">
            <v>963012J103</v>
          </cell>
          <cell r="D505">
            <v>2</v>
          </cell>
          <cell r="E505">
            <v>0</v>
          </cell>
          <cell r="F505">
            <v>513</v>
          </cell>
          <cell r="G505" t="str">
            <v>DD/M</v>
          </cell>
          <cell r="H505" t="str">
            <v>G160</v>
          </cell>
          <cell r="I505">
            <v>100</v>
          </cell>
        </row>
        <row r="506">
          <cell r="C506" t="str">
            <v>963012J113</v>
          </cell>
          <cell r="D506">
            <v>2</v>
          </cell>
          <cell r="E506">
            <v>0</v>
          </cell>
          <cell r="F506">
            <v>513</v>
          </cell>
          <cell r="G506" t="str">
            <v>DD/M</v>
          </cell>
          <cell r="H506" t="str">
            <v>G160</v>
          </cell>
          <cell r="I506">
            <v>3500</v>
          </cell>
        </row>
        <row r="507">
          <cell r="C507" t="str">
            <v>963012J223</v>
          </cell>
          <cell r="D507">
            <v>2</v>
          </cell>
          <cell r="E507">
            <v>0</v>
          </cell>
          <cell r="F507">
            <v>513</v>
          </cell>
          <cell r="G507" t="str">
            <v>DD/M</v>
          </cell>
          <cell r="H507" t="str">
            <v>G160</v>
          </cell>
          <cell r="I507">
            <v>500</v>
          </cell>
        </row>
        <row r="508">
          <cell r="C508" t="str">
            <v>963017J103</v>
          </cell>
          <cell r="D508">
            <v>2</v>
          </cell>
          <cell r="E508">
            <v>0</v>
          </cell>
          <cell r="F508">
            <v>513</v>
          </cell>
          <cell r="G508" t="str">
            <v>R.C/M</v>
          </cell>
          <cell r="H508" t="str">
            <v>G150</v>
          </cell>
          <cell r="I508">
            <v>300</v>
          </cell>
        </row>
        <row r="509">
          <cell r="C509" t="str">
            <v>963017J104</v>
          </cell>
          <cell r="D509">
            <v>2</v>
          </cell>
          <cell r="E509">
            <v>0</v>
          </cell>
          <cell r="F509">
            <v>513</v>
          </cell>
          <cell r="G509" t="str">
            <v>R.C/M</v>
          </cell>
          <cell r="H509" t="str">
            <v>G150</v>
          </cell>
          <cell r="I509">
            <v>2000</v>
          </cell>
        </row>
        <row r="510">
          <cell r="C510" t="str">
            <v>963017J107</v>
          </cell>
          <cell r="D510">
            <v>2</v>
          </cell>
          <cell r="E510">
            <v>0</v>
          </cell>
          <cell r="F510">
            <v>513</v>
          </cell>
          <cell r="G510" t="str">
            <v>H.SD/M</v>
          </cell>
          <cell r="H510" t="str">
            <v>G140</v>
          </cell>
          <cell r="I510">
            <v>800</v>
          </cell>
        </row>
        <row r="511">
          <cell r="C511" t="str">
            <v>963017J109</v>
          </cell>
          <cell r="D511">
            <v>2</v>
          </cell>
          <cell r="E511">
            <v>0</v>
          </cell>
          <cell r="F511">
            <v>513</v>
          </cell>
          <cell r="G511" t="str">
            <v>H.SD/M</v>
          </cell>
          <cell r="H511" t="str">
            <v>G220</v>
          </cell>
          <cell r="I511">
            <v>700</v>
          </cell>
        </row>
        <row r="512">
          <cell r="C512" t="str">
            <v>963017J303</v>
          </cell>
          <cell r="D512">
            <v>2</v>
          </cell>
          <cell r="E512">
            <v>0</v>
          </cell>
          <cell r="F512">
            <v>513</v>
          </cell>
          <cell r="G512" t="str">
            <v>R.C/M</v>
          </cell>
          <cell r="H512" t="str">
            <v>G150</v>
          </cell>
          <cell r="I512">
            <v>50</v>
          </cell>
        </row>
        <row r="513">
          <cell r="C513" t="str">
            <v>963017J304</v>
          </cell>
          <cell r="D513">
            <v>2</v>
          </cell>
          <cell r="E513">
            <v>0</v>
          </cell>
          <cell r="F513">
            <v>513</v>
          </cell>
          <cell r="G513" t="str">
            <v>R.C/M</v>
          </cell>
          <cell r="H513" t="str">
            <v>G150</v>
          </cell>
          <cell r="I513">
            <v>50</v>
          </cell>
        </row>
        <row r="514">
          <cell r="C514" t="str">
            <v>963017J305</v>
          </cell>
          <cell r="D514">
            <v>1</v>
          </cell>
          <cell r="E514">
            <v>0</v>
          </cell>
          <cell r="F514">
            <v>513</v>
          </cell>
          <cell r="G514" t="str">
            <v>D/M</v>
          </cell>
          <cell r="H514" t="str">
            <v>G150</v>
          </cell>
          <cell r="I514">
            <v>20</v>
          </cell>
        </row>
        <row r="515">
          <cell r="C515" t="str">
            <v>963022J103</v>
          </cell>
          <cell r="D515">
            <v>2</v>
          </cell>
          <cell r="E515">
            <v>0</v>
          </cell>
          <cell r="F515">
            <v>513</v>
          </cell>
          <cell r="G515" t="str">
            <v>DD/M</v>
          </cell>
          <cell r="H515" t="str">
            <v>G160</v>
          </cell>
          <cell r="I515">
            <v>100</v>
          </cell>
        </row>
        <row r="516">
          <cell r="C516" t="str">
            <v>963022J113</v>
          </cell>
          <cell r="D516">
            <v>2</v>
          </cell>
          <cell r="E516">
            <v>0</v>
          </cell>
          <cell r="F516">
            <v>513</v>
          </cell>
          <cell r="G516" t="str">
            <v>DD/M</v>
          </cell>
          <cell r="H516" t="str">
            <v>G160</v>
          </cell>
          <cell r="I516">
            <v>3500</v>
          </cell>
        </row>
        <row r="517">
          <cell r="C517" t="str">
            <v>963022J223</v>
          </cell>
          <cell r="D517">
            <v>2</v>
          </cell>
          <cell r="E517">
            <v>0</v>
          </cell>
          <cell r="F517">
            <v>513</v>
          </cell>
          <cell r="G517" t="str">
            <v>DD/M</v>
          </cell>
          <cell r="H517" t="str">
            <v>G160</v>
          </cell>
          <cell r="I517">
            <v>500</v>
          </cell>
        </row>
        <row r="518">
          <cell r="C518" t="str">
            <v>963027J103</v>
          </cell>
          <cell r="D518">
            <v>2</v>
          </cell>
          <cell r="E518">
            <v>0</v>
          </cell>
          <cell r="F518">
            <v>513</v>
          </cell>
          <cell r="G518" t="str">
            <v>R.C/M</v>
          </cell>
          <cell r="H518" t="str">
            <v>G150</v>
          </cell>
          <cell r="I518">
            <v>300</v>
          </cell>
        </row>
        <row r="519">
          <cell r="C519" t="str">
            <v>963027J104</v>
          </cell>
          <cell r="D519">
            <v>2</v>
          </cell>
          <cell r="E519">
            <v>0</v>
          </cell>
          <cell r="F519">
            <v>513</v>
          </cell>
          <cell r="G519" t="str">
            <v>R.C/M</v>
          </cell>
          <cell r="H519" t="str">
            <v>G150</v>
          </cell>
          <cell r="I519">
            <v>2000</v>
          </cell>
        </row>
        <row r="520">
          <cell r="C520" t="str">
            <v>963027J107</v>
          </cell>
          <cell r="D520">
            <v>2</v>
          </cell>
          <cell r="E520">
            <v>0</v>
          </cell>
          <cell r="F520">
            <v>513</v>
          </cell>
          <cell r="G520" t="str">
            <v>H.SD/M</v>
          </cell>
          <cell r="H520" t="str">
            <v>G140</v>
          </cell>
          <cell r="I520">
            <v>800</v>
          </cell>
        </row>
        <row r="521">
          <cell r="C521" t="str">
            <v>963027J109</v>
          </cell>
          <cell r="D521">
            <v>2</v>
          </cell>
          <cell r="E521">
            <v>0</v>
          </cell>
          <cell r="F521">
            <v>513</v>
          </cell>
          <cell r="G521" t="str">
            <v>H.SD/M</v>
          </cell>
          <cell r="H521" t="str">
            <v>G220</v>
          </cell>
          <cell r="I521">
            <v>700</v>
          </cell>
        </row>
        <row r="522">
          <cell r="C522" t="str">
            <v>963027J303</v>
          </cell>
          <cell r="D522">
            <v>2</v>
          </cell>
          <cell r="E522">
            <v>0</v>
          </cell>
          <cell r="F522">
            <v>513</v>
          </cell>
          <cell r="G522" t="str">
            <v>R.C/M</v>
          </cell>
          <cell r="H522" t="str">
            <v>G150</v>
          </cell>
          <cell r="I522">
            <v>50</v>
          </cell>
        </row>
        <row r="523">
          <cell r="C523" t="str">
            <v>963027J304</v>
          </cell>
          <cell r="D523">
            <v>2</v>
          </cell>
          <cell r="E523">
            <v>0</v>
          </cell>
          <cell r="F523">
            <v>513</v>
          </cell>
          <cell r="G523" t="str">
            <v>R.C/M</v>
          </cell>
          <cell r="H523" t="str">
            <v>G150</v>
          </cell>
          <cell r="I523">
            <v>50</v>
          </cell>
        </row>
        <row r="524">
          <cell r="C524" t="str">
            <v>963027J305</v>
          </cell>
          <cell r="D524">
            <v>1</v>
          </cell>
          <cell r="E524">
            <v>0</v>
          </cell>
          <cell r="F524">
            <v>513</v>
          </cell>
          <cell r="G524" t="str">
            <v>D/M</v>
          </cell>
          <cell r="H524" t="str">
            <v>G150</v>
          </cell>
          <cell r="I524">
            <v>20</v>
          </cell>
        </row>
        <row r="525">
          <cell r="C525" t="str">
            <v>963214M410</v>
          </cell>
          <cell r="D525">
            <v>3</v>
          </cell>
          <cell r="E525">
            <v>0</v>
          </cell>
          <cell r="F525">
            <v>563</v>
          </cell>
          <cell r="G525" t="str">
            <v>JGP/M</v>
          </cell>
          <cell r="H525">
            <v>0</v>
          </cell>
          <cell r="I525">
            <v>200</v>
          </cell>
        </row>
        <row r="526">
          <cell r="C526" t="str">
            <v>963217J101</v>
          </cell>
          <cell r="D526">
            <v>2</v>
          </cell>
          <cell r="E526">
            <v>0</v>
          </cell>
          <cell r="F526">
            <v>563</v>
          </cell>
          <cell r="G526" t="str">
            <v>I/M</v>
          </cell>
          <cell r="H526" t="str">
            <v>H100</v>
          </cell>
          <cell r="I526">
            <v>700</v>
          </cell>
        </row>
        <row r="527">
          <cell r="C527" t="str">
            <v>9632950R00</v>
          </cell>
          <cell r="D527">
            <v>3</v>
          </cell>
          <cell r="E527">
            <v>0</v>
          </cell>
          <cell r="F527">
            <v>563</v>
          </cell>
          <cell r="G527" t="str">
            <v>I/MC0V</v>
          </cell>
          <cell r="H527">
            <v>0</v>
          </cell>
          <cell r="I527">
            <v>4000</v>
          </cell>
        </row>
        <row r="528">
          <cell r="C528" t="str">
            <v>963297J101</v>
          </cell>
          <cell r="D528">
            <v>2</v>
          </cell>
          <cell r="E528">
            <v>0</v>
          </cell>
          <cell r="F528">
            <v>563</v>
          </cell>
          <cell r="G528" t="str">
            <v>C0VER</v>
          </cell>
          <cell r="H528" t="str">
            <v>H100</v>
          </cell>
          <cell r="I528">
            <v>700</v>
          </cell>
        </row>
        <row r="529">
          <cell r="C529" t="str">
            <v>963737J101</v>
          </cell>
          <cell r="D529">
            <v>1</v>
          </cell>
          <cell r="E529">
            <v>0</v>
          </cell>
          <cell r="F529">
            <v>513</v>
          </cell>
          <cell r="G529" t="str">
            <v>GARN1S</v>
          </cell>
          <cell r="H529" t="str">
            <v>G149</v>
          </cell>
          <cell r="I529">
            <v>200</v>
          </cell>
        </row>
        <row r="530">
          <cell r="C530" t="str">
            <v>963737J105</v>
          </cell>
          <cell r="D530">
            <v>1</v>
          </cell>
          <cell r="E530">
            <v>0</v>
          </cell>
          <cell r="F530">
            <v>513</v>
          </cell>
          <cell r="G530" t="str">
            <v>GARN1S</v>
          </cell>
          <cell r="H530" t="str">
            <v>G149</v>
          </cell>
          <cell r="I530">
            <v>200</v>
          </cell>
        </row>
        <row r="531">
          <cell r="C531" t="str">
            <v>963737J107</v>
          </cell>
          <cell r="D531">
            <v>1</v>
          </cell>
          <cell r="E531">
            <v>0</v>
          </cell>
          <cell r="F531">
            <v>513</v>
          </cell>
          <cell r="G531" t="str">
            <v>GARN1S</v>
          </cell>
          <cell r="H531" t="str">
            <v>G149</v>
          </cell>
          <cell r="I531">
            <v>200</v>
          </cell>
        </row>
        <row r="532">
          <cell r="C532" t="str">
            <v>963737J108</v>
          </cell>
          <cell r="D532">
            <v>1</v>
          </cell>
          <cell r="E532">
            <v>0</v>
          </cell>
          <cell r="F532">
            <v>513</v>
          </cell>
          <cell r="G532" t="str">
            <v>GARN1S</v>
          </cell>
          <cell r="H532" t="str">
            <v>G149</v>
          </cell>
          <cell r="I532">
            <v>100</v>
          </cell>
        </row>
        <row r="533">
          <cell r="C533" t="str">
            <v>963737J109</v>
          </cell>
          <cell r="D533">
            <v>2</v>
          </cell>
          <cell r="E533">
            <v>0</v>
          </cell>
          <cell r="F533">
            <v>513</v>
          </cell>
          <cell r="G533" t="str">
            <v>D/MC0V</v>
          </cell>
          <cell r="H533" t="str">
            <v>G229</v>
          </cell>
          <cell r="I533">
            <v>1500</v>
          </cell>
        </row>
        <row r="534">
          <cell r="C534" t="str">
            <v>963747J101</v>
          </cell>
          <cell r="D534">
            <v>1</v>
          </cell>
          <cell r="E534">
            <v>0</v>
          </cell>
          <cell r="F534">
            <v>513</v>
          </cell>
          <cell r="G534" t="str">
            <v>GARN1S</v>
          </cell>
          <cell r="H534" t="str">
            <v>G149</v>
          </cell>
          <cell r="I534">
            <v>200</v>
          </cell>
        </row>
        <row r="535">
          <cell r="C535" t="str">
            <v>963747J105</v>
          </cell>
          <cell r="D535">
            <v>1</v>
          </cell>
          <cell r="E535">
            <v>0</v>
          </cell>
          <cell r="F535">
            <v>513</v>
          </cell>
          <cell r="G535" t="str">
            <v>GARN1S</v>
          </cell>
          <cell r="H535" t="str">
            <v>G149</v>
          </cell>
          <cell r="I535">
            <v>200</v>
          </cell>
        </row>
        <row r="536">
          <cell r="C536" t="str">
            <v>963747J107</v>
          </cell>
          <cell r="D536">
            <v>1</v>
          </cell>
          <cell r="E536">
            <v>0</v>
          </cell>
          <cell r="F536">
            <v>513</v>
          </cell>
          <cell r="G536" t="str">
            <v>GARN1S</v>
          </cell>
          <cell r="H536" t="str">
            <v>G149</v>
          </cell>
          <cell r="I536">
            <v>200</v>
          </cell>
        </row>
        <row r="537">
          <cell r="C537" t="str">
            <v>963747J108</v>
          </cell>
          <cell r="D537">
            <v>1</v>
          </cell>
          <cell r="E537">
            <v>0</v>
          </cell>
          <cell r="F537">
            <v>513</v>
          </cell>
          <cell r="G537" t="str">
            <v>GARN1S</v>
          </cell>
          <cell r="H537" t="str">
            <v>G149</v>
          </cell>
          <cell r="I537">
            <v>100</v>
          </cell>
        </row>
        <row r="538">
          <cell r="C538" t="str">
            <v>963747J109</v>
          </cell>
          <cell r="D538">
            <v>2</v>
          </cell>
          <cell r="E538">
            <v>0</v>
          </cell>
          <cell r="F538">
            <v>513</v>
          </cell>
          <cell r="G538" t="str">
            <v>D/MC0V</v>
          </cell>
          <cell r="H538" t="str">
            <v>G229</v>
          </cell>
          <cell r="I538">
            <v>1500</v>
          </cell>
        </row>
        <row r="539">
          <cell r="C539" t="str">
            <v>260104H500</v>
          </cell>
          <cell r="D539">
            <v>1</v>
          </cell>
          <cell r="E539">
            <v>0</v>
          </cell>
          <cell r="F539">
            <v>151</v>
          </cell>
          <cell r="G539" t="str">
            <v>H/L</v>
          </cell>
          <cell r="H539" t="str">
            <v>A400</v>
          </cell>
          <cell r="I539">
            <v>120</v>
          </cell>
        </row>
        <row r="540">
          <cell r="C540" t="str">
            <v>260604H500</v>
          </cell>
          <cell r="D540">
            <v>1</v>
          </cell>
          <cell r="E540">
            <v>0</v>
          </cell>
          <cell r="F540">
            <v>151</v>
          </cell>
          <cell r="G540" t="str">
            <v>H/L</v>
          </cell>
          <cell r="H540" t="str">
            <v>A400</v>
          </cell>
          <cell r="I540">
            <v>120</v>
          </cell>
        </row>
        <row r="541">
          <cell r="C541" t="str">
            <v>261504H500</v>
          </cell>
          <cell r="D541">
            <v>1</v>
          </cell>
          <cell r="E541">
            <v>0</v>
          </cell>
          <cell r="F541">
            <v>415</v>
          </cell>
          <cell r="G541" t="str">
            <v>F/L</v>
          </cell>
          <cell r="H541" t="str">
            <v>D300</v>
          </cell>
          <cell r="I541">
            <v>120</v>
          </cell>
        </row>
        <row r="542">
          <cell r="C542" t="str">
            <v>261554H500</v>
          </cell>
          <cell r="D542">
            <v>1</v>
          </cell>
          <cell r="E542">
            <v>0</v>
          </cell>
          <cell r="F542">
            <v>415</v>
          </cell>
          <cell r="G542" t="str">
            <v>F/L</v>
          </cell>
          <cell r="H542" t="str">
            <v>D300</v>
          </cell>
          <cell r="I542">
            <v>120</v>
          </cell>
        </row>
        <row r="543">
          <cell r="C543" t="str">
            <v>2643081U01</v>
          </cell>
          <cell r="D543">
            <v>3</v>
          </cell>
          <cell r="E543">
            <v>0</v>
          </cell>
          <cell r="F543">
            <v>415</v>
          </cell>
          <cell r="G543" t="str">
            <v>MAP/L</v>
          </cell>
        </row>
        <row r="544">
          <cell r="C544" t="str">
            <v>2646081U61</v>
          </cell>
          <cell r="D544">
            <v>3</v>
          </cell>
          <cell r="E544">
            <v>0</v>
          </cell>
          <cell r="F544">
            <v>415</v>
          </cell>
          <cell r="G544" t="str">
            <v>PER/L</v>
          </cell>
        </row>
        <row r="545">
          <cell r="C545" t="str">
            <v>2646581U61</v>
          </cell>
          <cell r="D545">
            <v>3</v>
          </cell>
          <cell r="E545">
            <v>0</v>
          </cell>
          <cell r="F545">
            <v>415</v>
          </cell>
          <cell r="G545" t="str">
            <v>PER/L</v>
          </cell>
        </row>
        <row r="546">
          <cell r="C546" t="str">
            <v>26550AG000</v>
          </cell>
          <cell r="D546">
            <v>1</v>
          </cell>
          <cell r="E546">
            <v>0</v>
          </cell>
          <cell r="F546">
            <v>214</v>
          </cell>
          <cell r="G546" t="str">
            <v>RC/L</v>
          </cell>
          <cell r="H546" t="str">
            <v>B000</v>
          </cell>
          <cell r="I546">
            <v>2150</v>
          </cell>
        </row>
        <row r="547">
          <cell r="C547" t="str">
            <v>26550AG010</v>
          </cell>
          <cell r="D547">
            <v>1</v>
          </cell>
          <cell r="E547">
            <v>0</v>
          </cell>
          <cell r="F547">
            <v>214</v>
          </cell>
          <cell r="G547" t="str">
            <v>RC/L</v>
          </cell>
          <cell r="H547" t="str">
            <v>B000</v>
          </cell>
          <cell r="I547">
            <v>2850</v>
          </cell>
        </row>
        <row r="548">
          <cell r="C548" t="str">
            <v>26555AG000</v>
          </cell>
          <cell r="D548">
            <v>1</v>
          </cell>
          <cell r="E548">
            <v>0</v>
          </cell>
          <cell r="F548">
            <v>214</v>
          </cell>
          <cell r="G548" t="str">
            <v>RC/L</v>
          </cell>
          <cell r="H548" t="str">
            <v>B000</v>
          </cell>
          <cell r="I548">
            <v>2150</v>
          </cell>
        </row>
        <row r="549">
          <cell r="C549" t="str">
            <v>26555AG010</v>
          </cell>
          <cell r="D549">
            <v>1</v>
          </cell>
          <cell r="E549">
            <v>0</v>
          </cell>
          <cell r="F549">
            <v>214</v>
          </cell>
          <cell r="G549" t="str">
            <v>RC/L</v>
          </cell>
          <cell r="H549" t="str">
            <v>B000</v>
          </cell>
          <cell r="I549">
            <v>2850</v>
          </cell>
        </row>
        <row r="550">
          <cell r="C550" t="str">
            <v>963014H500</v>
          </cell>
          <cell r="D550">
            <v>1</v>
          </cell>
          <cell r="E550">
            <v>0</v>
          </cell>
          <cell r="F550">
            <v>513</v>
          </cell>
          <cell r="G550" t="str">
            <v>D/M</v>
          </cell>
          <cell r="H550" t="str">
            <v>G160</v>
          </cell>
          <cell r="I550">
            <v>80</v>
          </cell>
        </row>
        <row r="551">
          <cell r="C551" t="str">
            <v>9630166U60</v>
          </cell>
          <cell r="D551">
            <v>1</v>
          </cell>
          <cell r="E551">
            <v>0</v>
          </cell>
          <cell r="F551">
            <v>513</v>
          </cell>
          <cell r="G551" t="str">
            <v>RC/M</v>
          </cell>
          <cell r="H551" t="str">
            <v>G050</v>
          </cell>
          <cell r="I551">
            <v>60</v>
          </cell>
        </row>
        <row r="552">
          <cell r="C552" t="str">
            <v>963024H500</v>
          </cell>
          <cell r="D552">
            <v>1</v>
          </cell>
          <cell r="E552">
            <v>0</v>
          </cell>
          <cell r="F552">
            <v>513</v>
          </cell>
          <cell r="G552" t="str">
            <v>D/M</v>
          </cell>
          <cell r="H552" t="str">
            <v>G160</v>
          </cell>
          <cell r="I552">
            <v>80</v>
          </cell>
        </row>
        <row r="553">
          <cell r="C553" t="str">
            <v>9630266U60</v>
          </cell>
          <cell r="D553">
            <v>1</v>
          </cell>
          <cell r="E553">
            <v>0</v>
          </cell>
          <cell r="F553">
            <v>513</v>
          </cell>
          <cell r="G553" t="str">
            <v>RC/M</v>
          </cell>
          <cell r="H553" t="str">
            <v>G050</v>
          </cell>
          <cell r="I553">
            <v>60</v>
          </cell>
        </row>
        <row r="554">
          <cell r="C554" t="str">
            <v>963214H500</v>
          </cell>
          <cell r="D554">
            <v>1</v>
          </cell>
          <cell r="E554">
            <v>0</v>
          </cell>
          <cell r="F554">
            <v>563</v>
          </cell>
          <cell r="G554" t="str">
            <v>GP/M</v>
          </cell>
          <cell r="H554" t="str">
            <v>H100</v>
          </cell>
          <cell r="I554">
            <v>60</v>
          </cell>
        </row>
        <row r="555">
          <cell r="C555" t="str">
            <v>963214H501</v>
          </cell>
          <cell r="D555">
            <v>1</v>
          </cell>
          <cell r="E555">
            <v>0</v>
          </cell>
          <cell r="F555">
            <v>563</v>
          </cell>
          <cell r="G555" t="str">
            <v>GP/M</v>
          </cell>
          <cell r="H555" t="str">
            <v>H100</v>
          </cell>
          <cell r="I555">
            <v>60</v>
          </cell>
        </row>
        <row r="556">
          <cell r="C556" t="str">
            <v>963214H560</v>
          </cell>
          <cell r="D556">
            <v>1</v>
          </cell>
          <cell r="E556">
            <v>0</v>
          </cell>
          <cell r="F556">
            <v>563</v>
          </cell>
          <cell r="G556" t="str">
            <v>GP/M</v>
          </cell>
          <cell r="H556" t="str">
            <v>H100</v>
          </cell>
          <cell r="I556">
            <v>30</v>
          </cell>
        </row>
        <row r="557">
          <cell r="C557" t="str">
            <v>9632166U65</v>
          </cell>
          <cell r="D557">
            <v>3</v>
          </cell>
          <cell r="E557">
            <v>0</v>
          </cell>
          <cell r="F557">
            <v>563</v>
          </cell>
          <cell r="G557" t="str">
            <v>GP/M</v>
          </cell>
          <cell r="H557">
            <v>0</v>
          </cell>
          <cell r="I557">
            <v>50</v>
          </cell>
        </row>
        <row r="558">
          <cell r="C558" t="str">
            <v>9652093V01</v>
          </cell>
          <cell r="D558">
            <v>1</v>
          </cell>
          <cell r="E558">
            <v>0</v>
          </cell>
          <cell r="F558">
            <v>644</v>
          </cell>
          <cell r="G558" t="str">
            <v>A/T</v>
          </cell>
          <cell r="H558" t="str">
            <v>L010</v>
          </cell>
          <cell r="I558">
            <v>10</v>
          </cell>
        </row>
        <row r="559">
          <cell r="C559" t="str">
            <v>9652093V05</v>
          </cell>
          <cell r="D559">
            <v>1</v>
          </cell>
          <cell r="E559">
            <v>0</v>
          </cell>
          <cell r="F559">
            <v>644</v>
          </cell>
          <cell r="G559" t="str">
            <v>A/T</v>
          </cell>
          <cell r="H559" t="str">
            <v>L010</v>
          </cell>
          <cell r="I559">
            <v>10</v>
          </cell>
        </row>
        <row r="560">
          <cell r="C560" t="str">
            <v>9652094V01</v>
          </cell>
          <cell r="D560">
            <v>1</v>
          </cell>
          <cell r="E560">
            <v>0</v>
          </cell>
          <cell r="F560">
            <v>644</v>
          </cell>
          <cell r="G560" t="str">
            <v>A/T</v>
          </cell>
          <cell r="H560" t="str">
            <v>L010</v>
          </cell>
          <cell r="I560">
            <v>10</v>
          </cell>
        </row>
        <row r="561">
          <cell r="C561" t="str">
            <v>9652094V05</v>
          </cell>
          <cell r="D561">
            <v>1</v>
          </cell>
          <cell r="E561">
            <v>0</v>
          </cell>
          <cell r="F561">
            <v>644</v>
          </cell>
          <cell r="G561" t="str">
            <v>A/T</v>
          </cell>
          <cell r="H561" t="str">
            <v>L010</v>
          </cell>
          <cell r="I561">
            <v>10</v>
          </cell>
        </row>
        <row r="562">
          <cell r="C562" t="str">
            <v>9652193V01</v>
          </cell>
          <cell r="D562">
            <v>1</v>
          </cell>
          <cell r="E562">
            <v>0</v>
          </cell>
          <cell r="F562">
            <v>644</v>
          </cell>
          <cell r="G562" t="str">
            <v>A/T</v>
          </cell>
          <cell r="H562" t="str">
            <v>L010</v>
          </cell>
          <cell r="I562">
            <v>10</v>
          </cell>
        </row>
        <row r="563">
          <cell r="C563" t="str">
            <v>9652193V05</v>
          </cell>
          <cell r="D563">
            <v>1</v>
          </cell>
          <cell r="E563">
            <v>0</v>
          </cell>
          <cell r="F563">
            <v>644</v>
          </cell>
          <cell r="G563" t="str">
            <v>A/T</v>
          </cell>
          <cell r="H563" t="str">
            <v>L010</v>
          </cell>
          <cell r="I563">
            <v>10</v>
          </cell>
        </row>
        <row r="564">
          <cell r="C564" t="str">
            <v>9652194V01</v>
          </cell>
          <cell r="D564">
            <v>1</v>
          </cell>
          <cell r="E564">
            <v>0</v>
          </cell>
          <cell r="F564">
            <v>644</v>
          </cell>
          <cell r="G564" t="str">
            <v>A/T</v>
          </cell>
          <cell r="H564" t="str">
            <v>L010</v>
          </cell>
          <cell r="I564">
            <v>10</v>
          </cell>
        </row>
        <row r="565">
          <cell r="C565" t="str">
            <v>9652194V05</v>
          </cell>
          <cell r="D565">
            <v>1</v>
          </cell>
          <cell r="E565">
            <v>0</v>
          </cell>
          <cell r="F565">
            <v>644</v>
          </cell>
          <cell r="G565" t="str">
            <v>A/T</v>
          </cell>
          <cell r="H565" t="str">
            <v>L010</v>
          </cell>
          <cell r="I565">
            <v>10</v>
          </cell>
        </row>
        <row r="566">
          <cell r="C566" t="str">
            <v>969124H700</v>
          </cell>
          <cell r="D566">
            <v>1</v>
          </cell>
          <cell r="E566">
            <v>0</v>
          </cell>
          <cell r="F566">
            <v>415</v>
          </cell>
          <cell r="G566" t="str">
            <v>C0VER</v>
          </cell>
          <cell r="H566" t="str">
            <v>D109</v>
          </cell>
          <cell r="I566">
            <v>20</v>
          </cell>
        </row>
        <row r="567">
          <cell r="C567" t="str">
            <v>969124H701</v>
          </cell>
          <cell r="D567">
            <v>1</v>
          </cell>
          <cell r="E567">
            <v>0</v>
          </cell>
          <cell r="F567">
            <v>415</v>
          </cell>
          <cell r="G567" t="str">
            <v>C0VER</v>
          </cell>
          <cell r="H567" t="str">
            <v>D109</v>
          </cell>
          <cell r="I567">
            <v>20</v>
          </cell>
        </row>
        <row r="568">
          <cell r="C568" t="str">
            <v>969804H500</v>
          </cell>
          <cell r="D568">
            <v>1</v>
          </cell>
          <cell r="E568">
            <v>0</v>
          </cell>
          <cell r="F568">
            <v>415</v>
          </cell>
          <cell r="G568" t="str">
            <v>C0NS/L</v>
          </cell>
          <cell r="H568" t="str">
            <v>D100</v>
          </cell>
          <cell r="I568">
            <v>60</v>
          </cell>
        </row>
        <row r="569">
          <cell r="C569" t="str">
            <v>969804H501</v>
          </cell>
          <cell r="D569">
            <v>1</v>
          </cell>
          <cell r="E569">
            <v>0</v>
          </cell>
          <cell r="F569">
            <v>415</v>
          </cell>
          <cell r="G569" t="str">
            <v>C0NS/L</v>
          </cell>
          <cell r="H569" t="str">
            <v>D100</v>
          </cell>
          <cell r="I569">
            <v>60</v>
          </cell>
        </row>
        <row r="570">
          <cell r="C570" t="str">
            <v>260103H000</v>
          </cell>
          <cell r="D570">
            <v>1</v>
          </cell>
          <cell r="E570">
            <v>0</v>
          </cell>
          <cell r="F570">
            <v>151</v>
          </cell>
          <cell r="G570" t="str">
            <v>H/L</v>
          </cell>
          <cell r="H570" t="str">
            <v>A400</v>
          </cell>
          <cell r="I570">
            <v>1200</v>
          </cell>
        </row>
        <row r="571">
          <cell r="C571" t="str">
            <v>260103H010</v>
          </cell>
          <cell r="D571">
            <v>1</v>
          </cell>
          <cell r="E571">
            <v>0</v>
          </cell>
          <cell r="F571">
            <v>151</v>
          </cell>
          <cell r="G571" t="str">
            <v>H/L</v>
          </cell>
          <cell r="H571" t="str">
            <v>A400</v>
          </cell>
          <cell r="I571">
            <v>300</v>
          </cell>
        </row>
        <row r="572">
          <cell r="C572" t="str">
            <v>260103H060</v>
          </cell>
          <cell r="D572">
            <v>1</v>
          </cell>
          <cell r="E572">
            <v>0</v>
          </cell>
          <cell r="F572">
            <v>151</v>
          </cell>
          <cell r="G572" t="str">
            <v>H/L</v>
          </cell>
          <cell r="H572" t="str">
            <v>A400</v>
          </cell>
          <cell r="I572">
            <v>200</v>
          </cell>
        </row>
        <row r="573">
          <cell r="C573" t="str">
            <v>260103H061</v>
          </cell>
          <cell r="D573">
            <v>2</v>
          </cell>
          <cell r="E573">
            <v>0</v>
          </cell>
          <cell r="F573">
            <v>151</v>
          </cell>
          <cell r="G573" t="str">
            <v>H/L</v>
          </cell>
          <cell r="H573" t="str">
            <v>A400</v>
          </cell>
          <cell r="I573">
            <v>10</v>
          </cell>
        </row>
        <row r="574">
          <cell r="C574" t="str">
            <v>260103H062</v>
          </cell>
          <cell r="D574">
            <v>2</v>
          </cell>
          <cell r="E574">
            <v>0</v>
          </cell>
          <cell r="F574">
            <v>151</v>
          </cell>
          <cell r="G574" t="str">
            <v>H/L</v>
          </cell>
          <cell r="H574" t="str">
            <v>A400</v>
          </cell>
          <cell r="I574">
            <v>0</v>
          </cell>
        </row>
        <row r="575">
          <cell r="C575" t="str">
            <v>260107P000</v>
          </cell>
          <cell r="D575">
            <v>3</v>
          </cell>
          <cell r="E575">
            <v>0</v>
          </cell>
          <cell r="F575">
            <v>151</v>
          </cell>
          <cell r="G575" t="str">
            <v>H/L</v>
          </cell>
          <cell r="H575">
            <v>0</v>
          </cell>
          <cell r="I575">
            <v>1600</v>
          </cell>
        </row>
        <row r="576">
          <cell r="C576" t="str">
            <v>260493H000</v>
          </cell>
          <cell r="D576">
            <v>1</v>
          </cell>
          <cell r="E576">
            <v>0</v>
          </cell>
          <cell r="F576">
            <v>151</v>
          </cell>
          <cell r="G576" t="str">
            <v>H/L-A</v>
          </cell>
          <cell r="H576" t="str">
            <v>A409</v>
          </cell>
          <cell r="I576">
            <v>2500</v>
          </cell>
        </row>
        <row r="577">
          <cell r="C577" t="str">
            <v>260603H000</v>
          </cell>
          <cell r="D577">
            <v>1</v>
          </cell>
          <cell r="E577">
            <v>0</v>
          </cell>
          <cell r="F577">
            <v>151</v>
          </cell>
          <cell r="G577" t="str">
            <v>H/L</v>
          </cell>
          <cell r="H577" t="str">
            <v>A400</v>
          </cell>
          <cell r="I577">
            <v>1200</v>
          </cell>
        </row>
        <row r="578">
          <cell r="C578" t="str">
            <v>260603H010</v>
          </cell>
          <cell r="D578">
            <v>1</v>
          </cell>
          <cell r="E578">
            <v>0</v>
          </cell>
          <cell r="F578">
            <v>151</v>
          </cell>
          <cell r="G578" t="str">
            <v>H/L</v>
          </cell>
          <cell r="H578" t="str">
            <v>A400</v>
          </cell>
          <cell r="I578">
            <v>300</v>
          </cell>
        </row>
        <row r="579">
          <cell r="C579" t="str">
            <v>260603H060</v>
          </cell>
          <cell r="D579">
            <v>1</v>
          </cell>
          <cell r="E579">
            <v>0</v>
          </cell>
          <cell r="F579">
            <v>151</v>
          </cell>
          <cell r="G579" t="str">
            <v>H/L</v>
          </cell>
          <cell r="H579" t="str">
            <v>A400</v>
          </cell>
          <cell r="I579">
            <v>200</v>
          </cell>
        </row>
        <row r="580">
          <cell r="C580" t="str">
            <v>260603H061</v>
          </cell>
          <cell r="D580">
            <v>2</v>
          </cell>
          <cell r="E580">
            <v>0</v>
          </cell>
          <cell r="F580">
            <v>151</v>
          </cell>
          <cell r="G580" t="str">
            <v>H/L</v>
          </cell>
          <cell r="H580" t="str">
            <v>A400</v>
          </cell>
          <cell r="I580">
            <v>10</v>
          </cell>
        </row>
        <row r="581">
          <cell r="C581" t="str">
            <v>260603H062</v>
          </cell>
          <cell r="D581">
            <v>2</v>
          </cell>
          <cell r="E581">
            <v>0</v>
          </cell>
          <cell r="F581">
            <v>151</v>
          </cell>
          <cell r="G581" t="str">
            <v>H/L</v>
          </cell>
          <cell r="H581" t="str">
            <v>A400</v>
          </cell>
          <cell r="I581">
            <v>0</v>
          </cell>
        </row>
        <row r="582">
          <cell r="C582" t="str">
            <v>260607P000</v>
          </cell>
          <cell r="D582">
            <v>3</v>
          </cell>
          <cell r="E582">
            <v>0</v>
          </cell>
          <cell r="F582">
            <v>151</v>
          </cell>
          <cell r="G582" t="str">
            <v>H/L</v>
          </cell>
          <cell r="H582">
            <v>0</v>
          </cell>
          <cell r="I582">
            <v>1600</v>
          </cell>
        </row>
        <row r="583">
          <cell r="C583" t="str">
            <v>261601N000</v>
          </cell>
          <cell r="D583">
            <v>3</v>
          </cell>
          <cell r="E583">
            <v>0</v>
          </cell>
          <cell r="F583">
            <v>415</v>
          </cell>
          <cell r="G583" t="str">
            <v>SF/L</v>
          </cell>
          <cell r="H583">
            <v>0</v>
          </cell>
          <cell r="I583">
            <v>400</v>
          </cell>
        </row>
        <row r="584">
          <cell r="C584" t="str">
            <v>2616040Y00</v>
          </cell>
          <cell r="D584">
            <v>3</v>
          </cell>
          <cell r="E584">
            <v>0</v>
          </cell>
          <cell r="F584">
            <v>415</v>
          </cell>
          <cell r="G584" t="str">
            <v>SF/L</v>
          </cell>
          <cell r="H584">
            <v>0</v>
          </cell>
          <cell r="I584">
            <v>4000</v>
          </cell>
        </row>
        <row r="585">
          <cell r="C585" t="str">
            <v>264004P100</v>
          </cell>
          <cell r="D585">
            <v>3</v>
          </cell>
          <cell r="E585">
            <v>0</v>
          </cell>
          <cell r="F585">
            <v>415</v>
          </cell>
          <cell r="G585" t="str">
            <v>F00T/L</v>
          </cell>
          <cell r="H585">
            <v>0</v>
          </cell>
          <cell r="I585">
            <v>5000</v>
          </cell>
        </row>
        <row r="586">
          <cell r="C586" t="str">
            <v>264106P000</v>
          </cell>
          <cell r="D586">
            <v>3</v>
          </cell>
          <cell r="E586">
            <v>0</v>
          </cell>
          <cell r="F586">
            <v>415</v>
          </cell>
          <cell r="G586" t="str">
            <v>R/L</v>
          </cell>
          <cell r="H586">
            <v>0</v>
          </cell>
          <cell r="I586">
            <v>2300</v>
          </cell>
        </row>
        <row r="587">
          <cell r="C587" t="str">
            <v>264116P002</v>
          </cell>
          <cell r="D587">
            <v>3</v>
          </cell>
          <cell r="E587">
            <v>0</v>
          </cell>
          <cell r="F587">
            <v>415</v>
          </cell>
          <cell r="G587" t="str">
            <v>LENS</v>
          </cell>
          <cell r="H587">
            <v>0</v>
          </cell>
          <cell r="I587">
            <v>3500</v>
          </cell>
        </row>
        <row r="588">
          <cell r="C588" t="str">
            <v>264156P000</v>
          </cell>
          <cell r="D588">
            <v>3</v>
          </cell>
          <cell r="E588">
            <v>0</v>
          </cell>
          <cell r="F588">
            <v>415</v>
          </cell>
          <cell r="G588" t="str">
            <v>R/L</v>
          </cell>
          <cell r="H588">
            <v>0</v>
          </cell>
          <cell r="I588">
            <v>1200</v>
          </cell>
        </row>
        <row r="589">
          <cell r="C589" t="str">
            <v>264206P100</v>
          </cell>
          <cell r="D589">
            <v>3</v>
          </cell>
          <cell r="E589">
            <v>0</v>
          </cell>
          <cell r="F589">
            <v>415</v>
          </cell>
          <cell r="G589" t="str">
            <v>STP/L</v>
          </cell>
          <cell r="H589">
            <v>0</v>
          </cell>
          <cell r="I589">
            <v>14000</v>
          </cell>
        </row>
        <row r="590">
          <cell r="C590" t="str">
            <v>264303H010</v>
          </cell>
          <cell r="D590">
            <v>2</v>
          </cell>
          <cell r="E590">
            <v>0</v>
          </cell>
          <cell r="F590">
            <v>415</v>
          </cell>
          <cell r="G590" t="str">
            <v>MAP/L</v>
          </cell>
          <cell r="H590" t="str">
            <v>E010</v>
          </cell>
          <cell r="I590">
            <v>300</v>
          </cell>
        </row>
        <row r="591">
          <cell r="C591" t="str">
            <v>264303H012</v>
          </cell>
          <cell r="D591">
            <v>2</v>
          </cell>
          <cell r="E591">
            <v>0</v>
          </cell>
          <cell r="F591">
            <v>415</v>
          </cell>
          <cell r="G591" t="str">
            <v>MAP/L</v>
          </cell>
          <cell r="H591" t="str">
            <v>E010</v>
          </cell>
          <cell r="I591">
            <v>400</v>
          </cell>
        </row>
        <row r="592">
          <cell r="C592" t="str">
            <v>264303H014</v>
          </cell>
          <cell r="D592">
            <v>2</v>
          </cell>
          <cell r="E592">
            <v>0</v>
          </cell>
          <cell r="F592">
            <v>415</v>
          </cell>
          <cell r="G592" t="str">
            <v>MAP/L</v>
          </cell>
          <cell r="H592" t="str">
            <v>E010</v>
          </cell>
          <cell r="I592">
            <v>20</v>
          </cell>
        </row>
        <row r="593">
          <cell r="C593" t="str">
            <v>264306P010</v>
          </cell>
          <cell r="D593">
            <v>3</v>
          </cell>
          <cell r="E593">
            <v>0</v>
          </cell>
          <cell r="F593">
            <v>415</v>
          </cell>
          <cell r="G593" t="str">
            <v>MAP/L</v>
          </cell>
          <cell r="H593">
            <v>0</v>
          </cell>
          <cell r="I593">
            <v>500</v>
          </cell>
        </row>
        <row r="594">
          <cell r="C594" t="str">
            <v>264306P014</v>
          </cell>
          <cell r="D594">
            <v>3</v>
          </cell>
          <cell r="E594">
            <v>0</v>
          </cell>
          <cell r="F594">
            <v>415</v>
          </cell>
          <cell r="G594" t="str">
            <v>MAP/L</v>
          </cell>
          <cell r="H594">
            <v>0</v>
          </cell>
          <cell r="I594">
            <v>500</v>
          </cell>
        </row>
        <row r="595">
          <cell r="C595" t="str">
            <v>264306P017</v>
          </cell>
          <cell r="D595">
            <v>3</v>
          </cell>
          <cell r="E595">
            <v>0</v>
          </cell>
          <cell r="F595">
            <v>415</v>
          </cell>
          <cell r="G595" t="str">
            <v>MAP/L</v>
          </cell>
          <cell r="H595">
            <v>0</v>
          </cell>
          <cell r="I595">
            <v>500</v>
          </cell>
        </row>
        <row r="596">
          <cell r="C596" t="str">
            <v>264307P009</v>
          </cell>
          <cell r="D596">
            <v>1</v>
          </cell>
          <cell r="E596">
            <v>0</v>
          </cell>
          <cell r="F596">
            <v>415</v>
          </cell>
          <cell r="G596" t="str">
            <v>MAP/L</v>
          </cell>
          <cell r="H596" t="str">
            <v>E010</v>
          </cell>
          <cell r="I596">
            <v>100</v>
          </cell>
        </row>
        <row r="597">
          <cell r="C597" t="str">
            <v>264307P012</v>
          </cell>
          <cell r="D597">
            <v>1</v>
          </cell>
          <cell r="E597">
            <v>0</v>
          </cell>
          <cell r="F597">
            <v>415</v>
          </cell>
          <cell r="G597" t="str">
            <v>MAP/L</v>
          </cell>
          <cell r="H597" t="str">
            <v>E010</v>
          </cell>
          <cell r="I597">
            <v>100</v>
          </cell>
        </row>
        <row r="598">
          <cell r="C598" t="str">
            <v>264606P000</v>
          </cell>
          <cell r="D598">
            <v>3</v>
          </cell>
          <cell r="E598">
            <v>0</v>
          </cell>
          <cell r="F598">
            <v>415</v>
          </cell>
          <cell r="G598" t="str">
            <v>PS/L</v>
          </cell>
          <cell r="H598">
            <v>0</v>
          </cell>
          <cell r="I598">
            <v>2300</v>
          </cell>
        </row>
        <row r="599">
          <cell r="C599" t="str">
            <v>264606P004</v>
          </cell>
          <cell r="D599">
            <v>3</v>
          </cell>
          <cell r="E599">
            <v>0</v>
          </cell>
          <cell r="F599">
            <v>415</v>
          </cell>
          <cell r="G599" t="str">
            <v>PS/L</v>
          </cell>
          <cell r="H599">
            <v>0</v>
          </cell>
          <cell r="I599">
            <v>2300</v>
          </cell>
        </row>
        <row r="600">
          <cell r="C600" t="str">
            <v>264606P007</v>
          </cell>
          <cell r="D600">
            <v>3</v>
          </cell>
          <cell r="E600">
            <v>0</v>
          </cell>
          <cell r="F600">
            <v>415</v>
          </cell>
          <cell r="G600" t="str">
            <v>PS/L</v>
          </cell>
          <cell r="H600">
            <v>0</v>
          </cell>
          <cell r="I600">
            <v>2300</v>
          </cell>
        </row>
        <row r="601">
          <cell r="C601" t="str">
            <v>2647060U00</v>
          </cell>
          <cell r="D601">
            <v>3</v>
          </cell>
          <cell r="E601">
            <v>0</v>
          </cell>
          <cell r="F601">
            <v>415</v>
          </cell>
          <cell r="G601" t="str">
            <v>TR/L</v>
          </cell>
          <cell r="H601">
            <v>0</v>
          </cell>
          <cell r="I601">
            <v>3500</v>
          </cell>
        </row>
        <row r="602">
          <cell r="C602" t="str">
            <v>265103J100</v>
          </cell>
          <cell r="D602">
            <v>3</v>
          </cell>
          <cell r="E602">
            <v>0</v>
          </cell>
          <cell r="F602">
            <v>415</v>
          </cell>
          <cell r="G602" t="str">
            <v>L/L</v>
          </cell>
          <cell r="H602">
            <v>0</v>
          </cell>
          <cell r="I602">
            <v>7000</v>
          </cell>
        </row>
        <row r="603">
          <cell r="C603" t="str">
            <v>265403H000</v>
          </cell>
          <cell r="D603">
            <v>1</v>
          </cell>
          <cell r="E603">
            <v>0</v>
          </cell>
          <cell r="F603">
            <v>414</v>
          </cell>
          <cell r="G603" t="str">
            <v>B/L</v>
          </cell>
          <cell r="H603" t="str">
            <v>B040</v>
          </cell>
          <cell r="I603">
            <v>2500</v>
          </cell>
        </row>
        <row r="604">
          <cell r="C604" t="str">
            <v>265403H000</v>
          </cell>
          <cell r="D604">
            <v>3</v>
          </cell>
          <cell r="E604">
            <v>0</v>
          </cell>
          <cell r="F604">
            <v>415</v>
          </cell>
          <cell r="G604" t="str">
            <v>B/L</v>
          </cell>
          <cell r="H604" t="str">
            <v>B040</v>
          </cell>
          <cell r="I604">
            <v>10</v>
          </cell>
        </row>
        <row r="605">
          <cell r="C605" t="str">
            <v>265406P260</v>
          </cell>
          <cell r="D605">
            <v>0</v>
          </cell>
          <cell r="E605">
            <v>0</v>
          </cell>
          <cell r="F605">
            <v>214</v>
          </cell>
          <cell r="G605" t="str">
            <v>B/L</v>
          </cell>
          <cell r="H605" t="str">
            <v>B070</v>
          </cell>
          <cell r="I605">
            <v>10</v>
          </cell>
        </row>
        <row r="606">
          <cell r="C606" t="str">
            <v>265453H000</v>
          </cell>
          <cell r="D606">
            <v>1</v>
          </cell>
          <cell r="E606">
            <v>0</v>
          </cell>
          <cell r="F606">
            <v>414</v>
          </cell>
          <cell r="G606" t="str">
            <v>B/L</v>
          </cell>
          <cell r="H606" t="str">
            <v>B040</v>
          </cell>
          <cell r="I606">
            <v>2500</v>
          </cell>
        </row>
        <row r="607">
          <cell r="C607" t="str">
            <v>265453H000</v>
          </cell>
          <cell r="D607">
            <v>3</v>
          </cell>
          <cell r="E607">
            <v>0</v>
          </cell>
          <cell r="F607">
            <v>415</v>
          </cell>
          <cell r="G607" t="str">
            <v>B/L</v>
          </cell>
          <cell r="H607" t="str">
            <v>B040</v>
          </cell>
          <cell r="I607">
            <v>10</v>
          </cell>
        </row>
        <row r="608">
          <cell r="C608" t="str">
            <v>265456P260</v>
          </cell>
          <cell r="D608">
            <v>0</v>
          </cell>
          <cell r="E608">
            <v>0</v>
          </cell>
          <cell r="F608">
            <v>214</v>
          </cell>
          <cell r="G608" t="str">
            <v>B/L</v>
          </cell>
          <cell r="H608" t="str">
            <v>B070</v>
          </cell>
          <cell r="I608">
            <v>10</v>
          </cell>
        </row>
        <row r="609">
          <cell r="C609" t="str">
            <v>265503H000</v>
          </cell>
          <cell r="D609">
            <v>1</v>
          </cell>
          <cell r="E609">
            <v>0</v>
          </cell>
          <cell r="F609">
            <v>214</v>
          </cell>
          <cell r="G609" t="str">
            <v>RC/L</v>
          </cell>
          <cell r="H609" t="str">
            <v>B000</v>
          </cell>
          <cell r="I609">
            <v>1200</v>
          </cell>
        </row>
        <row r="610">
          <cell r="C610" t="str">
            <v>265503H201</v>
          </cell>
          <cell r="D610">
            <v>1</v>
          </cell>
          <cell r="E610">
            <v>0</v>
          </cell>
          <cell r="F610">
            <v>214</v>
          </cell>
          <cell r="G610" t="str">
            <v>RC/L</v>
          </cell>
          <cell r="H610" t="str">
            <v>B000</v>
          </cell>
          <cell r="I610">
            <v>200</v>
          </cell>
        </row>
        <row r="611">
          <cell r="C611" t="str">
            <v>265503H260</v>
          </cell>
          <cell r="D611">
            <v>0</v>
          </cell>
          <cell r="E611">
            <v>0</v>
          </cell>
          <cell r="F611">
            <v>214</v>
          </cell>
          <cell r="G611" t="str">
            <v>RC/L</v>
          </cell>
          <cell r="H611" t="str">
            <v>B000</v>
          </cell>
          <cell r="I611">
            <v>100</v>
          </cell>
        </row>
        <row r="612">
          <cell r="C612" t="str">
            <v>265503H261</v>
          </cell>
          <cell r="D612">
            <v>0</v>
          </cell>
          <cell r="E612">
            <v>0</v>
          </cell>
          <cell r="F612">
            <v>214</v>
          </cell>
          <cell r="G612" t="str">
            <v>RC/L</v>
          </cell>
          <cell r="H612" t="str">
            <v>B070</v>
          </cell>
          <cell r="I612">
            <v>100</v>
          </cell>
        </row>
        <row r="613">
          <cell r="C613" t="str">
            <v>265506P060</v>
          </cell>
          <cell r="D613">
            <v>0</v>
          </cell>
          <cell r="E613">
            <v>0</v>
          </cell>
          <cell r="F613">
            <v>214</v>
          </cell>
          <cell r="G613" t="str">
            <v>RC/L</v>
          </cell>
          <cell r="H613" t="str">
            <v>B000</v>
          </cell>
          <cell r="I613">
            <v>500</v>
          </cell>
        </row>
        <row r="614">
          <cell r="C614" t="str">
            <v>265506P061</v>
          </cell>
          <cell r="D614">
            <v>0</v>
          </cell>
          <cell r="E614">
            <v>0</v>
          </cell>
          <cell r="F614">
            <v>214</v>
          </cell>
          <cell r="G614" t="str">
            <v>RC/L</v>
          </cell>
          <cell r="H614" t="str">
            <v>B070</v>
          </cell>
          <cell r="I614">
            <v>500</v>
          </cell>
        </row>
        <row r="615">
          <cell r="C615" t="str">
            <v>265506P160</v>
          </cell>
          <cell r="D615">
            <v>0</v>
          </cell>
          <cell r="E615">
            <v>0</v>
          </cell>
          <cell r="F615">
            <v>214</v>
          </cell>
          <cell r="G615" t="str">
            <v>RC/L</v>
          </cell>
          <cell r="H615" t="str">
            <v>B000</v>
          </cell>
          <cell r="I615">
            <v>80</v>
          </cell>
        </row>
        <row r="616">
          <cell r="C616" t="str">
            <v>265506P260</v>
          </cell>
          <cell r="D616">
            <v>0</v>
          </cell>
          <cell r="E616">
            <v>0</v>
          </cell>
          <cell r="F616">
            <v>214</v>
          </cell>
          <cell r="G616" t="str">
            <v>RC/L</v>
          </cell>
          <cell r="H616" t="str">
            <v>B000</v>
          </cell>
          <cell r="I616">
            <v>10</v>
          </cell>
        </row>
        <row r="617">
          <cell r="C617" t="str">
            <v>265553H000</v>
          </cell>
          <cell r="D617">
            <v>1</v>
          </cell>
          <cell r="E617">
            <v>0</v>
          </cell>
          <cell r="F617">
            <v>214</v>
          </cell>
          <cell r="G617" t="str">
            <v>RC/L</v>
          </cell>
          <cell r="H617" t="str">
            <v>B000</v>
          </cell>
          <cell r="I617">
            <v>1200</v>
          </cell>
        </row>
        <row r="618">
          <cell r="C618" t="str">
            <v>265553H201</v>
          </cell>
          <cell r="D618">
            <v>1</v>
          </cell>
          <cell r="E618">
            <v>0</v>
          </cell>
          <cell r="F618">
            <v>214</v>
          </cell>
          <cell r="G618" t="str">
            <v>RC/L</v>
          </cell>
          <cell r="H618" t="str">
            <v>B000</v>
          </cell>
          <cell r="I618">
            <v>200</v>
          </cell>
        </row>
        <row r="619">
          <cell r="C619" t="str">
            <v>265553H260</v>
          </cell>
          <cell r="D619">
            <v>0</v>
          </cell>
          <cell r="E619">
            <v>0</v>
          </cell>
          <cell r="F619">
            <v>214</v>
          </cell>
          <cell r="G619" t="str">
            <v>RC/L</v>
          </cell>
          <cell r="H619" t="str">
            <v>B000</v>
          </cell>
          <cell r="I619">
            <v>100</v>
          </cell>
        </row>
        <row r="620">
          <cell r="C620" t="str">
            <v>265553H261</v>
          </cell>
          <cell r="D620">
            <v>0</v>
          </cell>
          <cell r="E620">
            <v>0</v>
          </cell>
          <cell r="F620">
            <v>214</v>
          </cell>
          <cell r="G620" t="str">
            <v>RC/L</v>
          </cell>
          <cell r="H620" t="str">
            <v>B070</v>
          </cell>
          <cell r="I620">
            <v>100</v>
          </cell>
        </row>
        <row r="621">
          <cell r="C621" t="str">
            <v>265556P060</v>
          </cell>
          <cell r="D621">
            <v>0</v>
          </cell>
          <cell r="E621">
            <v>0</v>
          </cell>
          <cell r="F621">
            <v>214</v>
          </cell>
          <cell r="G621" t="str">
            <v>RC/L</v>
          </cell>
          <cell r="H621" t="str">
            <v>B000</v>
          </cell>
          <cell r="I621">
            <v>500</v>
          </cell>
        </row>
        <row r="622">
          <cell r="C622" t="str">
            <v>265556P061</v>
          </cell>
          <cell r="D622">
            <v>0</v>
          </cell>
          <cell r="E622">
            <v>0</v>
          </cell>
          <cell r="F622">
            <v>214</v>
          </cell>
          <cell r="G622" t="str">
            <v>RC/L</v>
          </cell>
          <cell r="H622" t="str">
            <v>B070</v>
          </cell>
          <cell r="I622">
            <v>500</v>
          </cell>
        </row>
        <row r="623">
          <cell r="C623" t="str">
            <v>265556P160</v>
          </cell>
          <cell r="D623">
            <v>0</v>
          </cell>
          <cell r="E623">
            <v>0</v>
          </cell>
          <cell r="F623">
            <v>214</v>
          </cell>
          <cell r="G623" t="str">
            <v>RC/L</v>
          </cell>
          <cell r="H623" t="str">
            <v>B000</v>
          </cell>
          <cell r="I623">
            <v>80</v>
          </cell>
        </row>
        <row r="624">
          <cell r="C624" t="str">
            <v>265556P260</v>
          </cell>
          <cell r="D624">
            <v>0</v>
          </cell>
          <cell r="E624">
            <v>0</v>
          </cell>
          <cell r="F624">
            <v>214</v>
          </cell>
          <cell r="G624" t="str">
            <v>RC/L</v>
          </cell>
          <cell r="H624" t="str">
            <v>B000</v>
          </cell>
          <cell r="I624">
            <v>10</v>
          </cell>
        </row>
        <row r="625">
          <cell r="C625" t="str">
            <v>265906P000</v>
          </cell>
          <cell r="D625">
            <v>3</v>
          </cell>
          <cell r="E625">
            <v>0</v>
          </cell>
          <cell r="F625">
            <v>415</v>
          </cell>
          <cell r="G625" t="str">
            <v>HMS/L</v>
          </cell>
          <cell r="H625">
            <v>0</v>
          </cell>
          <cell r="I625">
            <v>2000</v>
          </cell>
        </row>
        <row r="626">
          <cell r="C626" t="str">
            <v>265906P900</v>
          </cell>
          <cell r="D626">
            <v>3</v>
          </cell>
          <cell r="E626">
            <v>0</v>
          </cell>
          <cell r="F626">
            <v>415</v>
          </cell>
          <cell r="G626" t="str">
            <v>HMS/L</v>
          </cell>
          <cell r="H626">
            <v>0</v>
          </cell>
          <cell r="I626">
            <v>600</v>
          </cell>
        </row>
        <row r="627">
          <cell r="C627" t="str">
            <v>265986P000</v>
          </cell>
          <cell r="D627">
            <v>3</v>
          </cell>
          <cell r="E627">
            <v>0</v>
          </cell>
          <cell r="F627">
            <v>415</v>
          </cell>
          <cell r="G627" t="str">
            <v>C0VER</v>
          </cell>
          <cell r="H627">
            <v>0</v>
          </cell>
          <cell r="I627">
            <v>720</v>
          </cell>
        </row>
        <row r="628">
          <cell r="C628" t="str">
            <v>265986P002</v>
          </cell>
          <cell r="D628">
            <v>3</v>
          </cell>
          <cell r="E628">
            <v>0</v>
          </cell>
          <cell r="F628">
            <v>415</v>
          </cell>
          <cell r="G628" t="str">
            <v>C0VER</v>
          </cell>
          <cell r="H628">
            <v>0</v>
          </cell>
          <cell r="I628">
            <v>720</v>
          </cell>
        </row>
        <row r="629">
          <cell r="C629" t="str">
            <v>265986P003</v>
          </cell>
          <cell r="D629">
            <v>3</v>
          </cell>
          <cell r="E629">
            <v>0</v>
          </cell>
          <cell r="F629">
            <v>415</v>
          </cell>
          <cell r="G629" t="str">
            <v>C0VER</v>
          </cell>
          <cell r="H629">
            <v>0</v>
          </cell>
          <cell r="I629">
            <v>720</v>
          </cell>
        </row>
        <row r="630">
          <cell r="C630" t="str">
            <v>265986P004</v>
          </cell>
          <cell r="D630">
            <v>3</v>
          </cell>
          <cell r="E630">
            <v>0</v>
          </cell>
          <cell r="F630">
            <v>415</v>
          </cell>
          <cell r="G630" t="str">
            <v>C0VER</v>
          </cell>
          <cell r="H630">
            <v>0</v>
          </cell>
          <cell r="I630">
            <v>720</v>
          </cell>
        </row>
        <row r="631">
          <cell r="C631" t="str">
            <v>288814P001</v>
          </cell>
          <cell r="D631">
            <v>3</v>
          </cell>
          <cell r="E631">
            <v>0</v>
          </cell>
          <cell r="F631">
            <v>714</v>
          </cell>
          <cell r="G631" t="str">
            <v>W/A</v>
          </cell>
          <cell r="H631">
            <v>0</v>
          </cell>
          <cell r="I631">
            <v>2000</v>
          </cell>
        </row>
        <row r="632">
          <cell r="C632" t="str">
            <v>288814P011</v>
          </cell>
          <cell r="D632">
            <v>3</v>
          </cell>
          <cell r="E632">
            <v>0</v>
          </cell>
          <cell r="F632">
            <v>714</v>
          </cell>
          <cell r="G632" t="str">
            <v>W/A</v>
          </cell>
          <cell r="H632">
            <v>0</v>
          </cell>
          <cell r="I632">
            <v>300</v>
          </cell>
        </row>
        <row r="633">
          <cell r="C633" t="str">
            <v>288816P100</v>
          </cell>
          <cell r="D633">
            <v>3</v>
          </cell>
          <cell r="E633">
            <v>0</v>
          </cell>
          <cell r="F633">
            <v>714</v>
          </cell>
          <cell r="G633" t="str">
            <v>W/A</v>
          </cell>
          <cell r="H633">
            <v>0</v>
          </cell>
          <cell r="I633">
            <v>1200</v>
          </cell>
        </row>
        <row r="634">
          <cell r="C634" t="str">
            <v>288864P001</v>
          </cell>
          <cell r="D634">
            <v>3</v>
          </cell>
          <cell r="E634">
            <v>0</v>
          </cell>
          <cell r="F634">
            <v>714</v>
          </cell>
          <cell r="G634" t="str">
            <v>W/A</v>
          </cell>
          <cell r="H634">
            <v>0</v>
          </cell>
          <cell r="I634">
            <v>2000</v>
          </cell>
        </row>
        <row r="635">
          <cell r="C635" t="str">
            <v>288864P011</v>
          </cell>
          <cell r="D635">
            <v>3</v>
          </cell>
          <cell r="E635">
            <v>0</v>
          </cell>
          <cell r="F635">
            <v>714</v>
          </cell>
          <cell r="G635" t="str">
            <v>W/A</v>
          </cell>
          <cell r="H635">
            <v>0</v>
          </cell>
          <cell r="I635">
            <v>300</v>
          </cell>
        </row>
        <row r="636">
          <cell r="C636" t="str">
            <v>288866P100</v>
          </cell>
          <cell r="D636">
            <v>3</v>
          </cell>
          <cell r="E636">
            <v>0</v>
          </cell>
          <cell r="F636">
            <v>714</v>
          </cell>
          <cell r="G636" t="str">
            <v>W/A</v>
          </cell>
          <cell r="H636">
            <v>0</v>
          </cell>
          <cell r="I636">
            <v>1200</v>
          </cell>
        </row>
        <row r="637">
          <cell r="C637" t="str">
            <v>288901E310</v>
          </cell>
          <cell r="D637">
            <v>3</v>
          </cell>
          <cell r="E637">
            <v>0</v>
          </cell>
          <cell r="F637">
            <v>714</v>
          </cell>
          <cell r="G637" t="str">
            <v>W/B</v>
          </cell>
          <cell r="H637">
            <v>0</v>
          </cell>
          <cell r="I637">
            <v>1200</v>
          </cell>
        </row>
        <row r="638">
          <cell r="C638" t="str">
            <v>2889040U00</v>
          </cell>
          <cell r="D638">
            <v>3</v>
          </cell>
          <cell r="E638">
            <v>0</v>
          </cell>
          <cell r="F638">
            <v>714</v>
          </cell>
          <cell r="G638" t="str">
            <v>W/B</v>
          </cell>
          <cell r="H638">
            <v>0</v>
          </cell>
          <cell r="I638">
            <v>1200</v>
          </cell>
        </row>
        <row r="639">
          <cell r="C639" t="str">
            <v>288904P001</v>
          </cell>
          <cell r="D639">
            <v>3</v>
          </cell>
          <cell r="E639">
            <v>0</v>
          </cell>
          <cell r="F639">
            <v>714</v>
          </cell>
          <cell r="G639" t="str">
            <v>W/B</v>
          </cell>
          <cell r="H639">
            <v>0</v>
          </cell>
          <cell r="I639">
            <v>2300</v>
          </cell>
        </row>
        <row r="640">
          <cell r="C640" t="str">
            <v>288904P002</v>
          </cell>
          <cell r="D640">
            <v>3</v>
          </cell>
          <cell r="E640">
            <v>0</v>
          </cell>
          <cell r="F640">
            <v>714</v>
          </cell>
          <cell r="G640" t="str">
            <v>W/B</v>
          </cell>
          <cell r="H640">
            <v>0</v>
          </cell>
          <cell r="I640">
            <v>2300</v>
          </cell>
        </row>
        <row r="641">
          <cell r="C641" t="str">
            <v>623103H000</v>
          </cell>
          <cell r="D641">
            <v>1</v>
          </cell>
          <cell r="E641">
            <v>0</v>
          </cell>
          <cell r="F641">
            <v>753</v>
          </cell>
          <cell r="G641" t="str">
            <v>R/G</v>
          </cell>
          <cell r="H641" t="str">
            <v>N000</v>
          </cell>
          <cell r="I641">
            <v>1200</v>
          </cell>
        </row>
        <row r="642">
          <cell r="C642" t="str">
            <v>623103H010</v>
          </cell>
          <cell r="D642">
            <v>1</v>
          </cell>
          <cell r="E642">
            <v>0</v>
          </cell>
          <cell r="F642">
            <v>753</v>
          </cell>
          <cell r="G642" t="str">
            <v>R/G</v>
          </cell>
          <cell r="H642" t="str">
            <v>N000</v>
          </cell>
          <cell r="I642">
            <v>20</v>
          </cell>
        </row>
        <row r="643">
          <cell r="C643" t="str">
            <v>623103H100</v>
          </cell>
          <cell r="D643">
            <v>1</v>
          </cell>
          <cell r="E643">
            <v>0</v>
          </cell>
          <cell r="F643">
            <v>753</v>
          </cell>
          <cell r="G643" t="str">
            <v>R/G</v>
          </cell>
          <cell r="H643" t="str">
            <v>N000</v>
          </cell>
          <cell r="I643">
            <v>300</v>
          </cell>
        </row>
        <row r="644">
          <cell r="C644" t="str">
            <v>623103H110</v>
          </cell>
          <cell r="D644">
            <v>1</v>
          </cell>
          <cell r="E644">
            <v>0</v>
          </cell>
          <cell r="F644">
            <v>753</v>
          </cell>
          <cell r="G644" t="str">
            <v>R/G</v>
          </cell>
          <cell r="H644" t="str">
            <v>N000</v>
          </cell>
          <cell r="I644">
            <v>2000</v>
          </cell>
        </row>
        <row r="645">
          <cell r="C645" t="str">
            <v>623103H500</v>
          </cell>
          <cell r="D645">
            <v>1</v>
          </cell>
          <cell r="E645">
            <v>0</v>
          </cell>
          <cell r="F645">
            <v>753</v>
          </cell>
          <cell r="G645" t="str">
            <v>R/G</v>
          </cell>
          <cell r="H645" t="str">
            <v>N000</v>
          </cell>
          <cell r="I645">
            <v>1000</v>
          </cell>
        </row>
        <row r="646">
          <cell r="C646" t="str">
            <v>623103H501</v>
          </cell>
          <cell r="D646">
            <v>2</v>
          </cell>
          <cell r="E646">
            <v>0</v>
          </cell>
          <cell r="F646">
            <v>753</v>
          </cell>
          <cell r="G646" t="str">
            <v>R/G</v>
          </cell>
          <cell r="H646" t="str">
            <v>N000</v>
          </cell>
          <cell r="I646">
            <v>120</v>
          </cell>
        </row>
        <row r="647">
          <cell r="C647" t="str">
            <v>623103H502</v>
          </cell>
          <cell r="D647">
            <v>2</v>
          </cell>
          <cell r="E647">
            <v>0</v>
          </cell>
          <cell r="F647">
            <v>753</v>
          </cell>
          <cell r="G647" t="str">
            <v>R/G</v>
          </cell>
          <cell r="H647" t="str">
            <v>N000</v>
          </cell>
          <cell r="I647">
            <v>120</v>
          </cell>
        </row>
        <row r="648">
          <cell r="C648" t="str">
            <v>623103H509</v>
          </cell>
          <cell r="D648">
            <v>2</v>
          </cell>
          <cell r="E648">
            <v>0</v>
          </cell>
          <cell r="F648">
            <v>753</v>
          </cell>
          <cell r="G648" t="str">
            <v>R/G</v>
          </cell>
          <cell r="H648" t="str">
            <v>N000</v>
          </cell>
          <cell r="I648">
            <v>120</v>
          </cell>
        </row>
        <row r="649">
          <cell r="C649" t="str">
            <v>623103H510</v>
          </cell>
          <cell r="D649">
            <v>2</v>
          </cell>
          <cell r="E649">
            <v>0</v>
          </cell>
          <cell r="F649">
            <v>753</v>
          </cell>
          <cell r="G649" t="str">
            <v>R/G</v>
          </cell>
          <cell r="H649" t="str">
            <v>N000</v>
          </cell>
          <cell r="I649">
            <v>120</v>
          </cell>
        </row>
        <row r="650">
          <cell r="C650" t="str">
            <v>623103H511</v>
          </cell>
          <cell r="D650">
            <v>2</v>
          </cell>
          <cell r="E650">
            <v>0</v>
          </cell>
          <cell r="F650">
            <v>753</v>
          </cell>
          <cell r="G650" t="str">
            <v>R/G</v>
          </cell>
          <cell r="H650" t="str">
            <v>N000</v>
          </cell>
          <cell r="I650">
            <v>120</v>
          </cell>
        </row>
        <row r="651">
          <cell r="C651" t="str">
            <v>623103H512</v>
          </cell>
          <cell r="D651">
            <v>2</v>
          </cell>
          <cell r="E651">
            <v>0</v>
          </cell>
          <cell r="F651">
            <v>753</v>
          </cell>
          <cell r="G651" t="str">
            <v>R/G</v>
          </cell>
          <cell r="H651" t="str">
            <v>N000</v>
          </cell>
          <cell r="I651">
            <v>120</v>
          </cell>
        </row>
        <row r="652">
          <cell r="C652" t="str">
            <v>623103H513</v>
          </cell>
          <cell r="D652">
            <v>2</v>
          </cell>
          <cell r="E652">
            <v>0</v>
          </cell>
          <cell r="F652">
            <v>753</v>
          </cell>
          <cell r="G652" t="str">
            <v>R/G</v>
          </cell>
          <cell r="H652" t="str">
            <v>N000</v>
          </cell>
          <cell r="I652">
            <v>120</v>
          </cell>
        </row>
        <row r="653">
          <cell r="C653" t="str">
            <v>623103H514</v>
          </cell>
          <cell r="D653">
            <v>2</v>
          </cell>
          <cell r="E653">
            <v>0</v>
          </cell>
          <cell r="F653">
            <v>753</v>
          </cell>
          <cell r="G653" t="str">
            <v>R/G</v>
          </cell>
          <cell r="H653" t="str">
            <v>N000</v>
          </cell>
          <cell r="I653">
            <v>120</v>
          </cell>
        </row>
        <row r="654">
          <cell r="C654" t="str">
            <v>623103H516</v>
          </cell>
          <cell r="D654">
            <v>2</v>
          </cell>
          <cell r="E654">
            <v>0</v>
          </cell>
          <cell r="F654">
            <v>753</v>
          </cell>
          <cell r="G654" t="str">
            <v>R/G</v>
          </cell>
          <cell r="H654" t="str">
            <v>N000</v>
          </cell>
          <cell r="I654">
            <v>120</v>
          </cell>
        </row>
        <row r="655">
          <cell r="C655" t="str">
            <v>623103H600</v>
          </cell>
          <cell r="D655">
            <v>1</v>
          </cell>
          <cell r="E655">
            <v>0</v>
          </cell>
          <cell r="F655">
            <v>753</v>
          </cell>
          <cell r="G655" t="str">
            <v>R/G</v>
          </cell>
          <cell r="H655" t="str">
            <v>N000</v>
          </cell>
          <cell r="I655">
            <v>300</v>
          </cell>
        </row>
        <row r="656">
          <cell r="C656" t="str">
            <v>623103H601</v>
          </cell>
          <cell r="D656">
            <v>1</v>
          </cell>
          <cell r="E656">
            <v>0</v>
          </cell>
          <cell r="F656">
            <v>753</v>
          </cell>
          <cell r="G656" t="str">
            <v>R/G</v>
          </cell>
          <cell r="H656" t="str">
            <v>N000</v>
          </cell>
          <cell r="I656">
            <v>10</v>
          </cell>
        </row>
        <row r="657">
          <cell r="C657" t="str">
            <v>623103H602</v>
          </cell>
          <cell r="D657">
            <v>1</v>
          </cell>
          <cell r="E657">
            <v>0</v>
          </cell>
          <cell r="F657">
            <v>753</v>
          </cell>
          <cell r="G657" t="str">
            <v>R/G</v>
          </cell>
          <cell r="H657" t="str">
            <v>N000</v>
          </cell>
          <cell r="I657">
            <v>10</v>
          </cell>
        </row>
        <row r="658">
          <cell r="C658" t="str">
            <v>623103H609</v>
          </cell>
          <cell r="D658">
            <v>1</v>
          </cell>
          <cell r="E658">
            <v>0</v>
          </cell>
          <cell r="F658">
            <v>753</v>
          </cell>
          <cell r="G658" t="str">
            <v>R/G</v>
          </cell>
          <cell r="H658" t="str">
            <v>N000</v>
          </cell>
          <cell r="I658">
            <v>10</v>
          </cell>
        </row>
        <row r="659">
          <cell r="C659" t="str">
            <v>623103H610</v>
          </cell>
          <cell r="D659">
            <v>1</v>
          </cell>
          <cell r="E659">
            <v>0</v>
          </cell>
          <cell r="F659">
            <v>753</v>
          </cell>
          <cell r="G659" t="str">
            <v>R/G</v>
          </cell>
          <cell r="H659" t="str">
            <v>N000</v>
          </cell>
          <cell r="I659">
            <v>10</v>
          </cell>
        </row>
        <row r="660">
          <cell r="C660" t="str">
            <v>623103H611</v>
          </cell>
          <cell r="D660">
            <v>1</v>
          </cell>
          <cell r="E660">
            <v>0</v>
          </cell>
          <cell r="F660">
            <v>753</v>
          </cell>
          <cell r="G660" t="str">
            <v>R/G</v>
          </cell>
          <cell r="H660" t="str">
            <v>N000</v>
          </cell>
          <cell r="I660">
            <v>10</v>
          </cell>
        </row>
        <row r="661">
          <cell r="C661" t="str">
            <v>623103H612</v>
          </cell>
          <cell r="D661">
            <v>1</v>
          </cell>
          <cell r="E661">
            <v>0</v>
          </cell>
          <cell r="F661">
            <v>753</v>
          </cell>
          <cell r="G661" t="str">
            <v>R/G</v>
          </cell>
          <cell r="H661" t="str">
            <v>N000</v>
          </cell>
          <cell r="I661">
            <v>10</v>
          </cell>
        </row>
        <row r="662">
          <cell r="C662" t="str">
            <v>623103H613</v>
          </cell>
          <cell r="D662">
            <v>1</v>
          </cell>
          <cell r="E662">
            <v>0</v>
          </cell>
          <cell r="F662">
            <v>753</v>
          </cell>
          <cell r="G662" t="str">
            <v>R/G</v>
          </cell>
          <cell r="H662" t="str">
            <v>N000</v>
          </cell>
          <cell r="I662">
            <v>10</v>
          </cell>
        </row>
        <row r="663">
          <cell r="C663" t="str">
            <v>623103H614</v>
          </cell>
          <cell r="D663">
            <v>1</v>
          </cell>
          <cell r="E663">
            <v>0</v>
          </cell>
          <cell r="F663">
            <v>753</v>
          </cell>
          <cell r="G663" t="str">
            <v>R/G</v>
          </cell>
          <cell r="H663" t="str">
            <v>N000</v>
          </cell>
          <cell r="I663">
            <v>10</v>
          </cell>
        </row>
        <row r="664">
          <cell r="C664" t="str">
            <v>623103H616</v>
          </cell>
          <cell r="D664">
            <v>1</v>
          </cell>
          <cell r="E664">
            <v>0</v>
          </cell>
          <cell r="F664">
            <v>753</v>
          </cell>
          <cell r="G664" t="str">
            <v>R/G</v>
          </cell>
          <cell r="H664" t="str">
            <v>N000</v>
          </cell>
          <cell r="I664">
            <v>10</v>
          </cell>
        </row>
        <row r="665">
          <cell r="C665" t="str">
            <v>963013H001</v>
          </cell>
          <cell r="D665">
            <v>1</v>
          </cell>
          <cell r="E665">
            <v>0</v>
          </cell>
          <cell r="F665">
            <v>513</v>
          </cell>
          <cell r="G665" t="str">
            <v>DD/M</v>
          </cell>
          <cell r="H665" t="str">
            <v>G160</v>
          </cell>
          <cell r="I665">
            <v>50</v>
          </cell>
        </row>
        <row r="666">
          <cell r="C666" t="str">
            <v>963013H003</v>
          </cell>
          <cell r="D666">
            <v>1</v>
          </cell>
          <cell r="E666">
            <v>0</v>
          </cell>
          <cell r="F666">
            <v>513</v>
          </cell>
          <cell r="G666" t="str">
            <v>DD/M</v>
          </cell>
          <cell r="H666" t="str">
            <v>G160</v>
          </cell>
          <cell r="I666">
            <v>50</v>
          </cell>
        </row>
        <row r="667">
          <cell r="C667" t="str">
            <v>963013H004</v>
          </cell>
          <cell r="D667">
            <v>1</v>
          </cell>
          <cell r="E667">
            <v>0</v>
          </cell>
          <cell r="F667">
            <v>513</v>
          </cell>
          <cell r="G667" t="str">
            <v>DD/M</v>
          </cell>
          <cell r="H667" t="str">
            <v>G160</v>
          </cell>
          <cell r="I667">
            <v>50</v>
          </cell>
        </row>
        <row r="668">
          <cell r="C668" t="str">
            <v>963013H010</v>
          </cell>
          <cell r="D668">
            <v>1</v>
          </cell>
          <cell r="E668">
            <v>0</v>
          </cell>
          <cell r="F668">
            <v>513</v>
          </cell>
          <cell r="G668" t="str">
            <v>DD/M</v>
          </cell>
          <cell r="H668" t="str">
            <v>G160</v>
          </cell>
          <cell r="I668">
            <v>50</v>
          </cell>
        </row>
        <row r="669">
          <cell r="C669" t="str">
            <v>963013H061</v>
          </cell>
          <cell r="D669">
            <v>1</v>
          </cell>
          <cell r="E669">
            <v>0</v>
          </cell>
          <cell r="F669">
            <v>513</v>
          </cell>
          <cell r="G669" t="str">
            <v>DD/M</v>
          </cell>
          <cell r="H669" t="str">
            <v>G160</v>
          </cell>
          <cell r="I669">
            <v>70</v>
          </cell>
        </row>
        <row r="670">
          <cell r="C670" t="str">
            <v>963013H062</v>
          </cell>
          <cell r="D670">
            <v>1</v>
          </cell>
          <cell r="E670">
            <v>0</v>
          </cell>
          <cell r="F670">
            <v>513</v>
          </cell>
          <cell r="G670" t="str">
            <v>DD/M</v>
          </cell>
          <cell r="H670" t="str">
            <v>G160</v>
          </cell>
          <cell r="I670">
            <v>70</v>
          </cell>
        </row>
        <row r="671">
          <cell r="C671" t="str">
            <v>963013H063</v>
          </cell>
          <cell r="D671">
            <v>1</v>
          </cell>
          <cell r="E671">
            <v>0</v>
          </cell>
          <cell r="F671">
            <v>513</v>
          </cell>
          <cell r="G671" t="str">
            <v>DD/M</v>
          </cell>
          <cell r="H671" t="str">
            <v>G160</v>
          </cell>
          <cell r="I671">
            <v>70</v>
          </cell>
        </row>
        <row r="672">
          <cell r="C672" t="str">
            <v>963013H064</v>
          </cell>
          <cell r="D672">
            <v>1</v>
          </cell>
          <cell r="E672">
            <v>0</v>
          </cell>
          <cell r="F672">
            <v>513</v>
          </cell>
          <cell r="G672" t="str">
            <v>DD/M</v>
          </cell>
          <cell r="H672" t="str">
            <v>G160</v>
          </cell>
          <cell r="I672">
            <v>70</v>
          </cell>
        </row>
        <row r="673">
          <cell r="C673" t="str">
            <v>963013H070</v>
          </cell>
          <cell r="D673">
            <v>1</v>
          </cell>
          <cell r="E673">
            <v>0</v>
          </cell>
          <cell r="F673">
            <v>513</v>
          </cell>
          <cell r="G673" t="str">
            <v>DD/M</v>
          </cell>
          <cell r="H673" t="str">
            <v>G160</v>
          </cell>
          <cell r="I673">
            <v>70</v>
          </cell>
        </row>
        <row r="674">
          <cell r="C674" t="str">
            <v>963013H201</v>
          </cell>
          <cell r="D674">
            <v>1</v>
          </cell>
          <cell r="E674">
            <v>0</v>
          </cell>
          <cell r="F674">
            <v>513</v>
          </cell>
          <cell r="G674" t="str">
            <v>D/M</v>
          </cell>
          <cell r="H674" t="str">
            <v>G150</v>
          </cell>
          <cell r="I674">
            <v>10</v>
          </cell>
        </row>
        <row r="675">
          <cell r="C675" t="str">
            <v>963013H203</v>
          </cell>
          <cell r="D675">
            <v>1</v>
          </cell>
          <cell r="E675">
            <v>0</v>
          </cell>
          <cell r="F675">
            <v>513</v>
          </cell>
          <cell r="G675" t="str">
            <v>D/M</v>
          </cell>
          <cell r="H675" t="str">
            <v>G150</v>
          </cell>
          <cell r="I675">
            <v>10</v>
          </cell>
        </row>
        <row r="676">
          <cell r="C676" t="str">
            <v>963013H204</v>
          </cell>
          <cell r="D676">
            <v>1</v>
          </cell>
          <cell r="E676">
            <v>0</v>
          </cell>
          <cell r="F676">
            <v>513</v>
          </cell>
          <cell r="G676" t="str">
            <v>D/M</v>
          </cell>
          <cell r="H676" t="str">
            <v>G150</v>
          </cell>
          <cell r="I676">
            <v>10</v>
          </cell>
        </row>
        <row r="677">
          <cell r="C677" t="str">
            <v>963013H210</v>
          </cell>
          <cell r="D677">
            <v>1</v>
          </cell>
          <cell r="E677">
            <v>0</v>
          </cell>
          <cell r="F677">
            <v>513</v>
          </cell>
          <cell r="G677" t="str">
            <v>D/M</v>
          </cell>
          <cell r="H677" t="str">
            <v>G150</v>
          </cell>
          <cell r="I677">
            <v>10</v>
          </cell>
        </row>
        <row r="678">
          <cell r="C678" t="str">
            <v>963013H261</v>
          </cell>
          <cell r="D678">
            <v>1</v>
          </cell>
          <cell r="E678">
            <v>0</v>
          </cell>
          <cell r="F678">
            <v>513</v>
          </cell>
          <cell r="G678" t="str">
            <v>DD/M</v>
          </cell>
          <cell r="H678" t="str">
            <v>G160</v>
          </cell>
          <cell r="I678">
            <v>70</v>
          </cell>
        </row>
        <row r="679">
          <cell r="C679" t="str">
            <v>963013H262</v>
          </cell>
          <cell r="D679">
            <v>1</v>
          </cell>
          <cell r="E679">
            <v>0</v>
          </cell>
          <cell r="F679">
            <v>513</v>
          </cell>
          <cell r="G679" t="str">
            <v>DD/M</v>
          </cell>
          <cell r="H679" t="str">
            <v>G160</v>
          </cell>
          <cell r="I679">
            <v>70</v>
          </cell>
        </row>
        <row r="680">
          <cell r="C680" t="str">
            <v>963013H263</v>
          </cell>
          <cell r="D680">
            <v>1</v>
          </cell>
          <cell r="E680">
            <v>0</v>
          </cell>
          <cell r="F680">
            <v>513</v>
          </cell>
          <cell r="G680" t="str">
            <v>DD/M</v>
          </cell>
          <cell r="H680" t="str">
            <v>G160</v>
          </cell>
          <cell r="I680">
            <v>70</v>
          </cell>
        </row>
        <row r="681">
          <cell r="C681" t="str">
            <v>963013H264</v>
          </cell>
          <cell r="D681">
            <v>1</v>
          </cell>
          <cell r="E681">
            <v>0</v>
          </cell>
          <cell r="F681">
            <v>513</v>
          </cell>
          <cell r="G681" t="str">
            <v>DD/M</v>
          </cell>
          <cell r="H681" t="str">
            <v>G160</v>
          </cell>
          <cell r="I681">
            <v>70</v>
          </cell>
        </row>
        <row r="682">
          <cell r="C682" t="str">
            <v>963013H270</v>
          </cell>
          <cell r="D682">
            <v>1</v>
          </cell>
          <cell r="E682">
            <v>0</v>
          </cell>
          <cell r="F682">
            <v>513</v>
          </cell>
          <cell r="G682" t="str">
            <v>DD/M</v>
          </cell>
          <cell r="H682" t="str">
            <v>G160</v>
          </cell>
          <cell r="I682">
            <v>70</v>
          </cell>
        </row>
        <row r="683">
          <cell r="C683" t="str">
            <v>963013H301</v>
          </cell>
          <cell r="D683">
            <v>1</v>
          </cell>
          <cell r="E683">
            <v>0</v>
          </cell>
          <cell r="F683">
            <v>513</v>
          </cell>
          <cell r="G683" t="str">
            <v>D/M</v>
          </cell>
          <cell r="H683" t="str">
            <v>G150</v>
          </cell>
          <cell r="I683">
            <v>10</v>
          </cell>
        </row>
        <row r="684">
          <cell r="C684" t="str">
            <v>963013H310</v>
          </cell>
          <cell r="D684">
            <v>1</v>
          </cell>
          <cell r="E684">
            <v>0</v>
          </cell>
          <cell r="F684">
            <v>513</v>
          </cell>
          <cell r="G684" t="str">
            <v>D/M</v>
          </cell>
          <cell r="H684" t="str">
            <v>G150</v>
          </cell>
          <cell r="I684">
            <v>10</v>
          </cell>
        </row>
        <row r="685">
          <cell r="C685" t="str">
            <v>963013H401</v>
          </cell>
          <cell r="D685">
            <v>1</v>
          </cell>
          <cell r="E685">
            <v>0</v>
          </cell>
          <cell r="F685">
            <v>513</v>
          </cell>
          <cell r="G685" t="str">
            <v>D/M</v>
          </cell>
          <cell r="H685" t="str">
            <v>G150</v>
          </cell>
          <cell r="I685">
            <v>10</v>
          </cell>
        </row>
        <row r="686">
          <cell r="C686" t="str">
            <v>963013H410</v>
          </cell>
          <cell r="D686">
            <v>1</v>
          </cell>
          <cell r="E686">
            <v>0</v>
          </cell>
          <cell r="F686">
            <v>513</v>
          </cell>
          <cell r="G686" t="str">
            <v>D/M</v>
          </cell>
          <cell r="H686" t="str">
            <v>G150</v>
          </cell>
          <cell r="I686">
            <v>10</v>
          </cell>
        </row>
        <row r="687">
          <cell r="C687" t="str">
            <v>963013H501</v>
          </cell>
          <cell r="D687">
            <v>1</v>
          </cell>
          <cell r="E687">
            <v>0</v>
          </cell>
          <cell r="F687">
            <v>513</v>
          </cell>
          <cell r="G687" t="str">
            <v>DD/M</v>
          </cell>
          <cell r="H687" t="str">
            <v>G160</v>
          </cell>
          <cell r="I687">
            <v>50</v>
          </cell>
        </row>
        <row r="688">
          <cell r="C688" t="str">
            <v>963013H510</v>
          </cell>
          <cell r="D688">
            <v>1</v>
          </cell>
          <cell r="E688">
            <v>0</v>
          </cell>
          <cell r="F688">
            <v>513</v>
          </cell>
          <cell r="G688" t="str">
            <v>DD/M</v>
          </cell>
          <cell r="H688" t="str">
            <v>G160</v>
          </cell>
          <cell r="I688">
            <v>50</v>
          </cell>
        </row>
        <row r="689">
          <cell r="C689" t="str">
            <v>963013H601</v>
          </cell>
          <cell r="D689">
            <v>1</v>
          </cell>
          <cell r="E689">
            <v>0</v>
          </cell>
          <cell r="F689">
            <v>513</v>
          </cell>
          <cell r="G689" t="str">
            <v>D/M</v>
          </cell>
          <cell r="H689" t="str">
            <v>G150</v>
          </cell>
          <cell r="I689">
            <v>170</v>
          </cell>
        </row>
        <row r="690">
          <cell r="C690" t="str">
            <v>963013H602</v>
          </cell>
          <cell r="D690">
            <v>1</v>
          </cell>
          <cell r="E690">
            <v>0</v>
          </cell>
          <cell r="F690">
            <v>513</v>
          </cell>
          <cell r="G690" t="str">
            <v>D/M</v>
          </cell>
          <cell r="H690" t="str">
            <v>G150</v>
          </cell>
          <cell r="I690">
            <v>170</v>
          </cell>
        </row>
        <row r="691">
          <cell r="C691" t="str">
            <v>963013H605</v>
          </cell>
          <cell r="D691">
            <v>1</v>
          </cell>
          <cell r="E691">
            <v>0</v>
          </cell>
          <cell r="F691">
            <v>513</v>
          </cell>
          <cell r="G691" t="str">
            <v>D/M</v>
          </cell>
          <cell r="H691" t="str">
            <v>G150</v>
          </cell>
          <cell r="I691">
            <v>170</v>
          </cell>
        </row>
        <row r="692">
          <cell r="C692" t="str">
            <v>963013H607</v>
          </cell>
          <cell r="D692">
            <v>1</v>
          </cell>
          <cell r="E692">
            <v>0</v>
          </cell>
          <cell r="F692">
            <v>513</v>
          </cell>
          <cell r="G692" t="str">
            <v>D/M</v>
          </cell>
          <cell r="H692" t="str">
            <v>G150</v>
          </cell>
          <cell r="I692">
            <v>170</v>
          </cell>
        </row>
        <row r="693">
          <cell r="C693" t="str">
            <v>963013H609</v>
          </cell>
          <cell r="D693">
            <v>1</v>
          </cell>
          <cell r="E693">
            <v>0</v>
          </cell>
          <cell r="F693">
            <v>513</v>
          </cell>
          <cell r="G693" t="str">
            <v>D/M</v>
          </cell>
          <cell r="H693" t="str">
            <v>G150</v>
          </cell>
          <cell r="I693">
            <v>170</v>
          </cell>
        </row>
        <row r="694">
          <cell r="C694" t="str">
            <v>963013H610</v>
          </cell>
          <cell r="D694">
            <v>1</v>
          </cell>
          <cell r="E694">
            <v>0</v>
          </cell>
          <cell r="F694">
            <v>513</v>
          </cell>
          <cell r="G694" t="str">
            <v>D/M</v>
          </cell>
          <cell r="H694" t="str">
            <v>G150</v>
          </cell>
          <cell r="I694">
            <v>170</v>
          </cell>
        </row>
        <row r="695">
          <cell r="C695" t="str">
            <v>963013H611</v>
          </cell>
          <cell r="D695">
            <v>1</v>
          </cell>
          <cell r="E695">
            <v>0</v>
          </cell>
          <cell r="F695">
            <v>513</v>
          </cell>
          <cell r="G695" t="str">
            <v>D/M</v>
          </cell>
          <cell r="H695" t="str">
            <v>G150</v>
          </cell>
          <cell r="I695">
            <v>170</v>
          </cell>
        </row>
        <row r="696">
          <cell r="C696" t="str">
            <v>963013H701</v>
          </cell>
          <cell r="D696">
            <v>1</v>
          </cell>
          <cell r="E696">
            <v>0</v>
          </cell>
          <cell r="F696">
            <v>513</v>
          </cell>
          <cell r="G696" t="str">
            <v>D/M</v>
          </cell>
          <cell r="H696" t="str">
            <v>G150</v>
          </cell>
          <cell r="I696">
            <v>10</v>
          </cell>
        </row>
        <row r="697">
          <cell r="C697" t="str">
            <v>963013H710</v>
          </cell>
          <cell r="D697">
            <v>1</v>
          </cell>
          <cell r="E697">
            <v>0</v>
          </cell>
          <cell r="F697">
            <v>513</v>
          </cell>
          <cell r="G697" t="str">
            <v>D/M</v>
          </cell>
          <cell r="H697" t="str">
            <v>G150</v>
          </cell>
          <cell r="I697">
            <v>10</v>
          </cell>
        </row>
        <row r="698">
          <cell r="C698" t="str">
            <v>963013H861</v>
          </cell>
          <cell r="D698">
            <v>2</v>
          </cell>
          <cell r="E698">
            <v>0</v>
          </cell>
          <cell r="F698">
            <v>513</v>
          </cell>
          <cell r="G698" t="str">
            <v>D/M</v>
          </cell>
          <cell r="H698" t="str">
            <v>G220</v>
          </cell>
          <cell r="I698">
            <v>30</v>
          </cell>
        </row>
        <row r="699">
          <cell r="C699" t="str">
            <v>963013H865</v>
          </cell>
          <cell r="D699">
            <v>2</v>
          </cell>
          <cell r="E699">
            <v>0</v>
          </cell>
          <cell r="F699">
            <v>513</v>
          </cell>
          <cell r="G699" t="str">
            <v>D/M</v>
          </cell>
          <cell r="H699" t="str">
            <v>G220</v>
          </cell>
          <cell r="I699">
            <v>5</v>
          </cell>
        </row>
        <row r="700">
          <cell r="C700" t="str">
            <v>963013H867</v>
          </cell>
          <cell r="D700">
            <v>2</v>
          </cell>
          <cell r="E700">
            <v>0</v>
          </cell>
          <cell r="F700">
            <v>513</v>
          </cell>
          <cell r="G700" t="str">
            <v>D/M</v>
          </cell>
          <cell r="H700" t="str">
            <v>G220</v>
          </cell>
          <cell r="I700">
            <v>5</v>
          </cell>
        </row>
        <row r="701">
          <cell r="C701" t="str">
            <v>963013H869</v>
          </cell>
          <cell r="D701">
            <v>2</v>
          </cell>
          <cell r="E701">
            <v>0</v>
          </cell>
          <cell r="F701">
            <v>513</v>
          </cell>
          <cell r="G701" t="str">
            <v>D/M</v>
          </cell>
          <cell r="H701" t="str">
            <v>G220</v>
          </cell>
          <cell r="I701">
            <v>5</v>
          </cell>
        </row>
        <row r="702">
          <cell r="C702" t="str">
            <v>963013H870</v>
          </cell>
          <cell r="D702">
            <v>2</v>
          </cell>
          <cell r="E702">
            <v>0</v>
          </cell>
          <cell r="F702">
            <v>513</v>
          </cell>
          <cell r="G702" t="str">
            <v>D/M</v>
          </cell>
          <cell r="H702" t="str">
            <v>G220</v>
          </cell>
          <cell r="I702">
            <v>5</v>
          </cell>
        </row>
        <row r="703">
          <cell r="C703" t="str">
            <v>963013H871</v>
          </cell>
          <cell r="D703">
            <v>2</v>
          </cell>
          <cell r="E703">
            <v>0</v>
          </cell>
          <cell r="F703">
            <v>513</v>
          </cell>
          <cell r="G703" t="str">
            <v>D/M</v>
          </cell>
          <cell r="H703" t="str">
            <v>G220</v>
          </cell>
          <cell r="I703">
            <v>5</v>
          </cell>
        </row>
        <row r="704">
          <cell r="C704" t="str">
            <v>963013H874</v>
          </cell>
          <cell r="D704">
            <v>2</v>
          </cell>
          <cell r="E704">
            <v>0</v>
          </cell>
          <cell r="F704">
            <v>513</v>
          </cell>
          <cell r="G704" t="str">
            <v>D/M</v>
          </cell>
          <cell r="H704" t="str">
            <v>G220</v>
          </cell>
          <cell r="I704">
            <v>5</v>
          </cell>
        </row>
        <row r="705">
          <cell r="C705" t="str">
            <v>963016P002</v>
          </cell>
          <cell r="D705">
            <v>3</v>
          </cell>
          <cell r="E705">
            <v>0</v>
          </cell>
          <cell r="F705">
            <v>513</v>
          </cell>
          <cell r="G705" t="str">
            <v>DD/M</v>
          </cell>
          <cell r="H705">
            <v>0</v>
          </cell>
          <cell r="I705">
            <v>100</v>
          </cell>
        </row>
        <row r="706">
          <cell r="C706" t="str">
            <v>963016P005</v>
          </cell>
          <cell r="D706">
            <v>3</v>
          </cell>
          <cell r="E706">
            <v>0</v>
          </cell>
          <cell r="F706">
            <v>513</v>
          </cell>
          <cell r="G706" t="str">
            <v>DD/M</v>
          </cell>
          <cell r="H706">
            <v>0</v>
          </cell>
          <cell r="I706">
            <v>100</v>
          </cell>
        </row>
        <row r="707">
          <cell r="C707" t="str">
            <v>963016P006</v>
          </cell>
          <cell r="D707">
            <v>3</v>
          </cell>
          <cell r="E707">
            <v>0</v>
          </cell>
          <cell r="F707">
            <v>513</v>
          </cell>
          <cell r="G707" t="str">
            <v>DD/M</v>
          </cell>
          <cell r="H707">
            <v>0</v>
          </cell>
          <cell r="I707">
            <v>100</v>
          </cell>
        </row>
        <row r="708">
          <cell r="C708" t="str">
            <v>963016P014</v>
          </cell>
          <cell r="D708">
            <v>3</v>
          </cell>
          <cell r="E708">
            <v>0</v>
          </cell>
          <cell r="F708">
            <v>513</v>
          </cell>
          <cell r="G708" t="str">
            <v>DD/M</v>
          </cell>
          <cell r="H708">
            <v>0</v>
          </cell>
          <cell r="I708">
            <v>100</v>
          </cell>
        </row>
        <row r="709">
          <cell r="C709" t="str">
            <v>963016P202</v>
          </cell>
          <cell r="D709">
            <v>3</v>
          </cell>
          <cell r="E709">
            <v>0</v>
          </cell>
          <cell r="F709">
            <v>513</v>
          </cell>
          <cell r="G709" t="str">
            <v>DD/M</v>
          </cell>
          <cell r="H709">
            <v>0</v>
          </cell>
          <cell r="I709">
            <v>100</v>
          </cell>
        </row>
        <row r="710">
          <cell r="C710" t="str">
            <v>963016P205</v>
          </cell>
          <cell r="D710">
            <v>3</v>
          </cell>
          <cell r="E710">
            <v>0</v>
          </cell>
          <cell r="F710">
            <v>513</v>
          </cell>
          <cell r="G710" t="str">
            <v>DD/M</v>
          </cell>
          <cell r="H710">
            <v>0</v>
          </cell>
          <cell r="I710">
            <v>100</v>
          </cell>
        </row>
        <row r="711">
          <cell r="C711" t="str">
            <v>963016P206</v>
          </cell>
          <cell r="D711">
            <v>3</v>
          </cell>
          <cell r="E711">
            <v>0</v>
          </cell>
          <cell r="F711">
            <v>513</v>
          </cell>
          <cell r="G711" t="str">
            <v>DD/M</v>
          </cell>
          <cell r="H711">
            <v>0</v>
          </cell>
          <cell r="I711">
            <v>100</v>
          </cell>
        </row>
        <row r="712">
          <cell r="C712" t="str">
            <v>963016P207</v>
          </cell>
          <cell r="D712">
            <v>3</v>
          </cell>
          <cell r="E712">
            <v>0</v>
          </cell>
          <cell r="F712">
            <v>513</v>
          </cell>
          <cell r="G712" t="str">
            <v>DD/M</v>
          </cell>
          <cell r="H712">
            <v>0</v>
          </cell>
          <cell r="I712">
            <v>100</v>
          </cell>
        </row>
        <row r="713">
          <cell r="C713" t="str">
            <v>963016P209</v>
          </cell>
          <cell r="D713">
            <v>3</v>
          </cell>
          <cell r="E713">
            <v>0</v>
          </cell>
          <cell r="F713">
            <v>513</v>
          </cell>
          <cell r="G713" t="str">
            <v>DD/M</v>
          </cell>
          <cell r="H713">
            <v>0</v>
          </cell>
          <cell r="I713">
            <v>100</v>
          </cell>
        </row>
        <row r="714">
          <cell r="C714" t="str">
            <v>963016P211</v>
          </cell>
          <cell r="D714">
            <v>3</v>
          </cell>
          <cell r="E714">
            <v>0</v>
          </cell>
          <cell r="F714">
            <v>513</v>
          </cell>
          <cell r="G714" t="str">
            <v>DD/M</v>
          </cell>
          <cell r="H714">
            <v>0</v>
          </cell>
          <cell r="I714">
            <v>100</v>
          </cell>
        </row>
        <row r="715">
          <cell r="C715" t="str">
            <v>963016P214</v>
          </cell>
          <cell r="D715">
            <v>3</v>
          </cell>
          <cell r="E715">
            <v>0</v>
          </cell>
          <cell r="F715">
            <v>513</v>
          </cell>
          <cell r="G715" t="str">
            <v>DD/M</v>
          </cell>
          <cell r="H715">
            <v>0</v>
          </cell>
          <cell r="I715">
            <v>100</v>
          </cell>
        </row>
        <row r="716">
          <cell r="C716" t="str">
            <v>963016P305</v>
          </cell>
          <cell r="D716">
            <v>3</v>
          </cell>
          <cell r="E716">
            <v>0</v>
          </cell>
          <cell r="F716">
            <v>513</v>
          </cell>
          <cell r="G716" t="str">
            <v>D/M</v>
          </cell>
          <cell r="H716">
            <v>0</v>
          </cell>
          <cell r="I716">
            <v>10</v>
          </cell>
        </row>
        <row r="717">
          <cell r="C717" t="str">
            <v>963016P307</v>
          </cell>
          <cell r="D717">
            <v>3</v>
          </cell>
          <cell r="E717">
            <v>0</v>
          </cell>
          <cell r="F717">
            <v>513</v>
          </cell>
          <cell r="G717" t="str">
            <v>D/M</v>
          </cell>
          <cell r="H717">
            <v>0</v>
          </cell>
          <cell r="I717">
            <v>10</v>
          </cell>
        </row>
        <row r="718">
          <cell r="C718" t="str">
            <v>963016P309</v>
          </cell>
          <cell r="D718">
            <v>3</v>
          </cell>
          <cell r="E718">
            <v>0</v>
          </cell>
          <cell r="F718">
            <v>513</v>
          </cell>
          <cell r="G718" t="str">
            <v>D/M</v>
          </cell>
          <cell r="H718">
            <v>0</v>
          </cell>
          <cell r="I718">
            <v>10</v>
          </cell>
        </row>
        <row r="719">
          <cell r="C719" t="str">
            <v>963016P311</v>
          </cell>
          <cell r="D719">
            <v>3</v>
          </cell>
          <cell r="E719">
            <v>0</v>
          </cell>
          <cell r="F719">
            <v>513</v>
          </cell>
          <cell r="G719" t="str">
            <v>D/M</v>
          </cell>
          <cell r="H719">
            <v>0</v>
          </cell>
          <cell r="I719">
            <v>10</v>
          </cell>
        </row>
        <row r="720">
          <cell r="C720" t="str">
            <v>963016P314</v>
          </cell>
          <cell r="D720">
            <v>3</v>
          </cell>
          <cell r="E720">
            <v>0</v>
          </cell>
          <cell r="F720">
            <v>513</v>
          </cell>
          <cell r="G720" t="str">
            <v>D/M</v>
          </cell>
          <cell r="H720">
            <v>0</v>
          </cell>
          <cell r="I720">
            <v>10</v>
          </cell>
        </row>
        <row r="721">
          <cell r="C721" t="str">
            <v>963016P505</v>
          </cell>
          <cell r="D721">
            <v>3</v>
          </cell>
          <cell r="E721">
            <v>0</v>
          </cell>
          <cell r="F721">
            <v>513</v>
          </cell>
          <cell r="G721" t="str">
            <v>D/M</v>
          </cell>
          <cell r="H721">
            <v>0</v>
          </cell>
          <cell r="I721">
            <v>5</v>
          </cell>
        </row>
        <row r="722">
          <cell r="C722" t="str">
            <v>963016P507</v>
          </cell>
          <cell r="D722">
            <v>3</v>
          </cell>
          <cell r="E722">
            <v>0</v>
          </cell>
          <cell r="F722">
            <v>513</v>
          </cell>
          <cell r="G722" t="str">
            <v>D/M</v>
          </cell>
          <cell r="H722">
            <v>0</v>
          </cell>
          <cell r="I722">
            <v>5</v>
          </cell>
        </row>
        <row r="723">
          <cell r="C723" t="str">
            <v>963016P514</v>
          </cell>
          <cell r="D723">
            <v>1</v>
          </cell>
          <cell r="E723">
            <v>0</v>
          </cell>
          <cell r="F723">
            <v>513</v>
          </cell>
          <cell r="G723" t="str">
            <v>DD/M</v>
          </cell>
          <cell r="H723" t="str">
            <v>G160</v>
          </cell>
          <cell r="I723">
            <v>10</v>
          </cell>
        </row>
        <row r="724">
          <cell r="C724" t="str">
            <v>963016P900</v>
          </cell>
          <cell r="D724">
            <v>3</v>
          </cell>
          <cell r="E724">
            <v>0</v>
          </cell>
          <cell r="F724">
            <v>513</v>
          </cell>
          <cell r="G724" t="str">
            <v>ERC/M</v>
          </cell>
          <cell r="H724">
            <v>0</v>
          </cell>
          <cell r="I724">
            <v>100</v>
          </cell>
        </row>
        <row r="725">
          <cell r="C725" t="str">
            <v>963017P005</v>
          </cell>
          <cell r="D725">
            <v>3</v>
          </cell>
          <cell r="E725">
            <v>0</v>
          </cell>
          <cell r="F725">
            <v>513</v>
          </cell>
          <cell r="G725" t="str">
            <v>DD/M</v>
          </cell>
          <cell r="H725">
            <v>0</v>
          </cell>
          <cell r="I725">
            <v>70</v>
          </cell>
        </row>
        <row r="726">
          <cell r="C726" t="str">
            <v>963017P006</v>
          </cell>
          <cell r="D726">
            <v>3</v>
          </cell>
          <cell r="E726">
            <v>0</v>
          </cell>
          <cell r="F726">
            <v>513</v>
          </cell>
          <cell r="G726" t="str">
            <v>DD/M</v>
          </cell>
          <cell r="H726">
            <v>0</v>
          </cell>
          <cell r="I726">
            <v>70</v>
          </cell>
        </row>
        <row r="727">
          <cell r="C727" t="str">
            <v>963017P014</v>
          </cell>
          <cell r="D727">
            <v>3</v>
          </cell>
          <cell r="E727">
            <v>0</v>
          </cell>
          <cell r="F727">
            <v>513</v>
          </cell>
          <cell r="G727" t="str">
            <v>DD/M</v>
          </cell>
          <cell r="H727">
            <v>0</v>
          </cell>
          <cell r="I727">
            <v>70</v>
          </cell>
        </row>
        <row r="728">
          <cell r="C728" t="str">
            <v>963017P205</v>
          </cell>
          <cell r="D728">
            <v>3</v>
          </cell>
          <cell r="E728">
            <v>0</v>
          </cell>
          <cell r="F728">
            <v>513</v>
          </cell>
          <cell r="G728" t="str">
            <v>DD/M</v>
          </cell>
          <cell r="H728">
            <v>0</v>
          </cell>
          <cell r="I728">
            <v>70</v>
          </cell>
        </row>
        <row r="729">
          <cell r="C729" t="str">
            <v>963017P206</v>
          </cell>
          <cell r="D729">
            <v>3</v>
          </cell>
          <cell r="E729">
            <v>0</v>
          </cell>
          <cell r="F729">
            <v>513</v>
          </cell>
          <cell r="G729" t="str">
            <v>DD/M</v>
          </cell>
          <cell r="H729">
            <v>0</v>
          </cell>
          <cell r="I729">
            <v>70</v>
          </cell>
        </row>
        <row r="730">
          <cell r="C730" t="str">
            <v>963017P214</v>
          </cell>
          <cell r="D730">
            <v>3</v>
          </cell>
          <cell r="E730">
            <v>0</v>
          </cell>
          <cell r="F730">
            <v>513</v>
          </cell>
          <cell r="G730" t="str">
            <v>DD/M</v>
          </cell>
          <cell r="H730">
            <v>0</v>
          </cell>
          <cell r="I730">
            <v>70</v>
          </cell>
        </row>
        <row r="731">
          <cell r="C731" t="str">
            <v>963023H001</v>
          </cell>
          <cell r="D731">
            <v>1</v>
          </cell>
          <cell r="E731">
            <v>0</v>
          </cell>
          <cell r="F731">
            <v>513</v>
          </cell>
          <cell r="G731" t="str">
            <v>DD/M</v>
          </cell>
          <cell r="H731" t="str">
            <v>G160</v>
          </cell>
          <cell r="I731">
            <v>50</v>
          </cell>
        </row>
        <row r="732">
          <cell r="C732" t="str">
            <v>963023H003</v>
          </cell>
          <cell r="D732">
            <v>1</v>
          </cell>
          <cell r="E732">
            <v>0</v>
          </cell>
          <cell r="F732">
            <v>513</v>
          </cell>
          <cell r="G732" t="str">
            <v>DD/M</v>
          </cell>
          <cell r="H732" t="str">
            <v>G160</v>
          </cell>
          <cell r="I732">
            <v>50</v>
          </cell>
        </row>
        <row r="733">
          <cell r="C733" t="str">
            <v>963023H004</v>
          </cell>
          <cell r="D733">
            <v>1</v>
          </cell>
          <cell r="E733">
            <v>0</v>
          </cell>
          <cell r="F733">
            <v>513</v>
          </cell>
          <cell r="G733" t="str">
            <v>DD/M</v>
          </cell>
          <cell r="H733" t="str">
            <v>G160</v>
          </cell>
          <cell r="I733">
            <v>50</v>
          </cell>
        </row>
        <row r="734">
          <cell r="C734" t="str">
            <v>963023H010</v>
          </cell>
          <cell r="D734">
            <v>1</v>
          </cell>
          <cell r="E734">
            <v>0</v>
          </cell>
          <cell r="F734">
            <v>513</v>
          </cell>
          <cell r="G734" t="str">
            <v>DD/M</v>
          </cell>
          <cell r="H734" t="str">
            <v>G160</v>
          </cell>
          <cell r="I734">
            <v>50</v>
          </cell>
        </row>
        <row r="735">
          <cell r="C735" t="str">
            <v>963023H061</v>
          </cell>
          <cell r="D735">
            <v>1</v>
          </cell>
          <cell r="E735">
            <v>0</v>
          </cell>
          <cell r="F735">
            <v>513</v>
          </cell>
          <cell r="G735" t="str">
            <v>DD/M</v>
          </cell>
          <cell r="H735" t="str">
            <v>G160</v>
          </cell>
          <cell r="I735">
            <v>70</v>
          </cell>
        </row>
        <row r="736">
          <cell r="C736" t="str">
            <v>963023H062</v>
          </cell>
          <cell r="D736">
            <v>1</v>
          </cell>
          <cell r="E736">
            <v>0</v>
          </cell>
          <cell r="F736">
            <v>513</v>
          </cell>
          <cell r="G736" t="str">
            <v>DD/M</v>
          </cell>
          <cell r="H736" t="str">
            <v>G160</v>
          </cell>
          <cell r="I736">
            <v>70</v>
          </cell>
        </row>
        <row r="737">
          <cell r="C737" t="str">
            <v>963023H063</v>
          </cell>
          <cell r="D737">
            <v>1</v>
          </cell>
          <cell r="E737">
            <v>0</v>
          </cell>
          <cell r="F737">
            <v>513</v>
          </cell>
          <cell r="G737" t="str">
            <v>DD/M</v>
          </cell>
          <cell r="H737" t="str">
            <v>G160</v>
          </cell>
          <cell r="I737">
            <v>70</v>
          </cell>
        </row>
        <row r="738">
          <cell r="C738" t="str">
            <v>963023H064</v>
          </cell>
          <cell r="D738">
            <v>1</v>
          </cell>
          <cell r="E738">
            <v>0</v>
          </cell>
          <cell r="F738">
            <v>513</v>
          </cell>
          <cell r="G738" t="str">
            <v>DD/M</v>
          </cell>
          <cell r="H738" t="str">
            <v>G160</v>
          </cell>
          <cell r="I738">
            <v>70</v>
          </cell>
        </row>
        <row r="739">
          <cell r="C739" t="str">
            <v>963023H070</v>
          </cell>
          <cell r="D739">
            <v>1</v>
          </cell>
          <cell r="E739">
            <v>0</v>
          </cell>
          <cell r="F739">
            <v>513</v>
          </cell>
          <cell r="G739" t="str">
            <v>DD/M</v>
          </cell>
          <cell r="H739" t="str">
            <v>G160</v>
          </cell>
          <cell r="I739">
            <v>70</v>
          </cell>
        </row>
        <row r="740">
          <cell r="C740" t="str">
            <v>963023H201</v>
          </cell>
          <cell r="D740">
            <v>1</v>
          </cell>
          <cell r="E740">
            <v>0</v>
          </cell>
          <cell r="F740">
            <v>513</v>
          </cell>
          <cell r="G740" t="str">
            <v>D/M</v>
          </cell>
          <cell r="H740" t="str">
            <v>G150</v>
          </cell>
          <cell r="I740">
            <v>10</v>
          </cell>
        </row>
        <row r="741">
          <cell r="C741" t="str">
            <v>963023H203</v>
          </cell>
          <cell r="D741">
            <v>1</v>
          </cell>
          <cell r="E741">
            <v>0</v>
          </cell>
          <cell r="F741">
            <v>513</v>
          </cell>
          <cell r="G741" t="str">
            <v>D/M</v>
          </cell>
          <cell r="H741" t="str">
            <v>G150</v>
          </cell>
          <cell r="I741">
            <v>10</v>
          </cell>
        </row>
        <row r="742">
          <cell r="C742" t="str">
            <v>963023H204</v>
          </cell>
          <cell r="D742">
            <v>1</v>
          </cell>
          <cell r="E742">
            <v>0</v>
          </cell>
          <cell r="F742">
            <v>513</v>
          </cell>
          <cell r="G742" t="str">
            <v>D/M</v>
          </cell>
          <cell r="H742" t="str">
            <v>G150</v>
          </cell>
          <cell r="I742">
            <v>10</v>
          </cell>
        </row>
        <row r="743">
          <cell r="C743" t="str">
            <v>963023H210</v>
          </cell>
          <cell r="D743">
            <v>1</v>
          </cell>
          <cell r="E743">
            <v>0</v>
          </cell>
          <cell r="F743">
            <v>513</v>
          </cell>
          <cell r="G743" t="str">
            <v>D/M</v>
          </cell>
          <cell r="H743" t="str">
            <v>G150</v>
          </cell>
          <cell r="I743">
            <v>10</v>
          </cell>
        </row>
        <row r="744">
          <cell r="C744" t="str">
            <v>963023H261</v>
          </cell>
          <cell r="D744">
            <v>1</v>
          </cell>
          <cell r="E744">
            <v>0</v>
          </cell>
          <cell r="F744">
            <v>513</v>
          </cell>
          <cell r="G744" t="str">
            <v>DD/M</v>
          </cell>
          <cell r="H744" t="str">
            <v>G160</v>
          </cell>
          <cell r="I744">
            <v>70</v>
          </cell>
        </row>
        <row r="745">
          <cell r="C745" t="str">
            <v>963023H262</v>
          </cell>
          <cell r="D745">
            <v>1</v>
          </cell>
          <cell r="E745">
            <v>0</v>
          </cell>
          <cell r="F745">
            <v>513</v>
          </cell>
          <cell r="G745" t="str">
            <v>DD/M</v>
          </cell>
          <cell r="H745" t="str">
            <v>G160</v>
          </cell>
          <cell r="I745">
            <v>70</v>
          </cell>
        </row>
        <row r="746">
          <cell r="C746" t="str">
            <v>963023H263</v>
          </cell>
          <cell r="D746">
            <v>1</v>
          </cell>
          <cell r="E746">
            <v>0</v>
          </cell>
          <cell r="F746">
            <v>513</v>
          </cell>
          <cell r="G746" t="str">
            <v>DD/M</v>
          </cell>
          <cell r="H746" t="str">
            <v>G160</v>
          </cell>
          <cell r="I746">
            <v>70</v>
          </cell>
        </row>
        <row r="747">
          <cell r="C747" t="str">
            <v>963023H264</v>
          </cell>
          <cell r="D747">
            <v>1</v>
          </cell>
          <cell r="E747">
            <v>0</v>
          </cell>
          <cell r="F747">
            <v>513</v>
          </cell>
          <cell r="G747" t="str">
            <v>DD/M</v>
          </cell>
          <cell r="H747" t="str">
            <v>G160</v>
          </cell>
          <cell r="I747">
            <v>70</v>
          </cell>
        </row>
        <row r="748">
          <cell r="C748" t="str">
            <v>963023H270</v>
          </cell>
          <cell r="D748">
            <v>1</v>
          </cell>
          <cell r="E748">
            <v>0</v>
          </cell>
          <cell r="F748">
            <v>513</v>
          </cell>
          <cell r="G748" t="str">
            <v>DD/M</v>
          </cell>
          <cell r="H748" t="str">
            <v>G160</v>
          </cell>
          <cell r="I748">
            <v>70</v>
          </cell>
        </row>
        <row r="749">
          <cell r="C749" t="str">
            <v>963023H301</v>
          </cell>
          <cell r="D749">
            <v>1</v>
          </cell>
          <cell r="E749">
            <v>0</v>
          </cell>
          <cell r="F749">
            <v>513</v>
          </cell>
          <cell r="G749" t="str">
            <v>D/M</v>
          </cell>
          <cell r="H749" t="str">
            <v>G150</v>
          </cell>
          <cell r="I749">
            <v>10</v>
          </cell>
        </row>
        <row r="750">
          <cell r="C750" t="str">
            <v>963023H310</v>
          </cell>
          <cell r="D750">
            <v>1</v>
          </cell>
          <cell r="E750">
            <v>0</v>
          </cell>
          <cell r="F750">
            <v>513</v>
          </cell>
          <cell r="G750" t="str">
            <v>D/M</v>
          </cell>
          <cell r="H750" t="str">
            <v>G150</v>
          </cell>
          <cell r="I750">
            <v>10</v>
          </cell>
        </row>
        <row r="751">
          <cell r="C751" t="str">
            <v>963023H401</v>
          </cell>
          <cell r="D751">
            <v>1</v>
          </cell>
          <cell r="E751">
            <v>0</v>
          </cell>
          <cell r="F751">
            <v>513</v>
          </cell>
          <cell r="G751" t="str">
            <v>D/M</v>
          </cell>
          <cell r="H751" t="str">
            <v>G150</v>
          </cell>
          <cell r="I751">
            <v>10</v>
          </cell>
        </row>
        <row r="752">
          <cell r="C752" t="str">
            <v>963023H410</v>
          </cell>
          <cell r="D752">
            <v>1</v>
          </cell>
          <cell r="E752">
            <v>0</v>
          </cell>
          <cell r="F752">
            <v>513</v>
          </cell>
          <cell r="G752" t="str">
            <v>D/M</v>
          </cell>
          <cell r="H752" t="str">
            <v>G150</v>
          </cell>
          <cell r="I752">
            <v>10</v>
          </cell>
        </row>
        <row r="753">
          <cell r="C753" t="str">
            <v>963023H501</v>
          </cell>
          <cell r="D753">
            <v>1</v>
          </cell>
          <cell r="E753">
            <v>0</v>
          </cell>
          <cell r="F753">
            <v>513</v>
          </cell>
          <cell r="G753" t="str">
            <v>DD/M</v>
          </cell>
          <cell r="H753" t="str">
            <v>G160</v>
          </cell>
          <cell r="I753">
            <v>50</v>
          </cell>
        </row>
        <row r="754">
          <cell r="C754" t="str">
            <v>963023H510</v>
          </cell>
          <cell r="D754">
            <v>1</v>
          </cell>
          <cell r="E754">
            <v>0</v>
          </cell>
          <cell r="F754">
            <v>513</v>
          </cell>
          <cell r="G754" t="str">
            <v>DD/M</v>
          </cell>
          <cell r="H754" t="str">
            <v>G160</v>
          </cell>
          <cell r="I754">
            <v>50</v>
          </cell>
        </row>
        <row r="755">
          <cell r="C755" t="str">
            <v>963023H601</v>
          </cell>
          <cell r="D755">
            <v>1</v>
          </cell>
          <cell r="E755">
            <v>0</v>
          </cell>
          <cell r="F755">
            <v>513</v>
          </cell>
          <cell r="G755" t="str">
            <v>D/M</v>
          </cell>
          <cell r="H755" t="str">
            <v>G150</v>
          </cell>
          <cell r="I755">
            <v>170</v>
          </cell>
        </row>
        <row r="756">
          <cell r="C756" t="str">
            <v>963023H602</v>
          </cell>
          <cell r="D756">
            <v>1</v>
          </cell>
          <cell r="E756">
            <v>0</v>
          </cell>
          <cell r="F756">
            <v>513</v>
          </cell>
          <cell r="G756" t="str">
            <v>D/M</v>
          </cell>
          <cell r="H756" t="str">
            <v>G150</v>
          </cell>
          <cell r="I756">
            <v>170</v>
          </cell>
        </row>
        <row r="757">
          <cell r="C757" t="str">
            <v>963023H605</v>
          </cell>
          <cell r="D757">
            <v>1</v>
          </cell>
          <cell r="E757">
            <v>0</v>
          </cell>
          <cell r="F757">
            <v>513</v>
          </cell>
          <cell r="G757" t="str">
            <v>D/M</v>
          </cell>
          <cell r="H757" t="str">
            <v>G150</v>
          </cell>
          <cell r="I757">
            <v>170</v>
          </cell>
        </row>
        <row r="758">
          <cell r="C758" t="str">
            <v>963023H607</v>
          </cell>
          <cell r="D758">
            <v>1</v>
          </cell>
          <cell r="E758">
            <v>0</v>
          </cell>
          <cell r="F758">
            <v>513</v>
          </cell>
          <cell r="G758" t="str">
            <v>D/M</v>
          </cell>
          <cell r="H758" t="str">
            <v>G150</v>
          </cell>
          <cell r="I758">
            <v>170</v>
          </cell>
        </row>
        <row r="759">
          <cell r="C759" t="str">
            <v>963023H609</v>
          </cell>
          <cell r="D759">
            <v>1</v>
          </cell>
          <cell r="E759">
            <v>0</v>
          </cell>
          <cell r="F759">
            <v>513</v>
          </cell>
          <cell r="G759" t="str">
            <v>D/M</v>
          </cell>
          <cell r="H759" t="str">
            <v>G150</v>
          </cell>
          <cell r="I759">
            <v>170</v>
          </cell>
        </row>
        <row r="760">
          <cell r="C760" t="str">
            <v>963023H610</v>
          </cell>
          <cell r="D760">
            <v>1</v>
          </cell>
          <cell r="E760">
            <v>0</v>
          </cell>
          <cell r="F760">
            <v>513</v>
          </cell>
          <cell r="G760" t="str">
            <v>D/M</v>
          </cell>
          <cell r="H760" t="str">
            <v>G150</v>
          </cell>
          <cell r="I760">
            <v>170</v>
          </cell>
        </row>
        <row r="761">
          <cell r="C761" t="str">
            <v>963023H611</v>
          </cell>
          <cell r="D761">
            <v>1</v>
          </cell>
          <cell r="E761">
            <v>0</v>
          </cell>
          <cell r="F761">
            <v>513</v>
          </cell>
          <cell r="G761" t="str">
            <v>D/M</v>
          </cell>
          <cell r="H761" t="str">
            <v>G150</v>
          </cell>
          <cell r="I761">
            <v>170</v>
          </cell>
        </row>
        <row r="762">
          <cell r="C762" t="str">
            <v>963023H701</v>
          </cell>
          <cell r="D762">
            <v>1</v>
          </cell>
          <cell r="E762">
            <v>0</v>
          </cell>
          <cell r="F762">
            <v>513</v>
          </cell>
          <cell r="G762" t="str">
            <v>D/M</v>
          </cell>
          <cell r="H762" t="str">
            <v>G150</v>
          </cell>
          <cell r="I762">
            <v>10</v>
          </cell>
        </row>
        <row r="763">
          <cell r="C763" t="str">
            <v>963023H710</v>
          </cell>
          <cell r="D763">
            <v>1</v>
          </cell>
          <cell r="E763">
            <v>0</v>
          </cell>
          <cell r="F763">
            <v>513</v>
          </cell>
          <cell r="G763" t="str">
            <v>D/M</v>
          </cell>
          <cell r="H763" t="str">
            <v>G150</v>
          </cell>
          <cell r="I763">
            <v>10</v>
          </cell>
        </row>
        <row r="764">
          <cell r="C764" t="str">
            <v>963023H861</v>
          </cell>
          <cell r="D764">
            <v>2</v>
          </cell>
          <cell r="E764">
            <v>0</v>
          </cell>
          <cell r="F764">
            <v>513</v>
          </cell>
          <cell r="G764" t="str">
            <v>D/M</v>
          </cell>
          <cell r="H764" t="str">
            <v>G220</v>
          </cell>
          <cell r="I764">
            <v>30</v>
          </cell>
        </row>
        <row r="765">
          <cell r="C765" t="str">
            <v>963023H865</v>
          </cell>
          <cell r="D765">
            <v>2</v>
          </cell>
          <cell r="E765">
            <v>0</v>
          </cell>
          <cell r="F765">
            <v>513</v>
          </cell>
          <cell r="G765" t="str">
            <v>D/M</v>
          </cell>
          <cell r="H765" t="str">
            <v>G220</v>
          </cell>
          <cell r="I765">
            <v>5</v>
          </cell>
        </row>
        <row r="766">
          <cell r="C766" t="str">
            <v>963023H867</v>
          </cell>
          <cell r="D766">
            <v>2</v>
          </cell>
          <cell r="E766">
            <v>0</v>
          </cell>
          <cell r="F766">
            <v>513</v>
          </cell>
          <cell r="G766" t="str">
            <v>D/M</v>
          </cell>
          <cell r="H766" t="str">
            <v>G220</v>
          </cell>
          <cell r="I766">
            <v>5</v>
          </cell>
        </row>
        <row r="767">
          <cell r="C767" t="str">
            <v>963023H869</v>
          </cell>
          <cell r="D767">
            <v>2</v>
          </cell>
          <cell r="E767">
            <v>0</v>
          </cell>
          <cell r="F767">
            <v>513</v>
          </cell>
          <cell r="G767" t="str">
            <v>D/M</v>
          </cell>
          <cell r="H767" t="str">
            <v>G220</v>
          </cell>
          <cell r="I767">
            <v>5</v>
          </cell>
        </row>
        <row r="768">
          <cell r="C768" t="str">
            <v>963023H870</v>
          </cell>
          <cell r="D768">
            <v>2</v>
          </cell>
          <cell r="E768">
            <v>0</v>
          </cell>
          <cell r="F768">
            <v>513</v>
          </cell>
          <cell r="G768" t="str">
            <v>D/M</v>
          </cell>
          <cell r="H768" t="str">
            <v>G220</v>
          </cell>
          <cell r="I768">
            <v>5</v>
          </cell>
        </row>
        <row r="769">
          <cell r="C769" t="str">
            <v>963023H871</v>
          </cell>
          <cell r="D769">
            <v>2</v>
          </cell>
          <cell r="E769">
            <v>0</v>
          </cell>
          <cell r="F769">
            <v>513</v>
          </cell>
          <cell r="G769" t="str">
            <v>D/M</v>
          </cell>
          <cell r="H769" t="str">
            <v>G220</v>
          </cell>
          <cell r="I769">
            <v>5</v>
          </cell>
        </row>
        <row r="770">
          <cell r="C770" t="str">
            <v>963023H874</v>
          </cell>
          <cell r="D770">
            <v>2</v>
          </cell>
          <cell r="E770">
            <v>0</v>
          </cell>
          <cell r="F770">
            <v>513</v>
          </cell>
          <cell r="G770" t="str">
            <v>D/M</v>
          </cell>
          <cell r="H770" t="str">
            <v>G220</v>
          </cell>
          <cell r="I770">
            <v>5</v>
          </cell>
        </row>
        <row r="771">
          <cell r="C771" t="str">
            <v>963026P002</v>
          </cell>
          <cell r="D771">
            <v>3</v>
          </cell>
          <cell r="E771">
            <v>0</v>
          </cell>
          <cell r="F771">
            <v>513</v>
          </cell>
          <cell r="G771" t="str">
            <v>DD/M</v>
          </cell>
          <cell r="H771">
            <v>0</v>
          </cell>
          <cell r="I771">
            <v>100</v>
          </cell>
        </row>
        <row r="772">
          <cell r="C772" t="str">
            <v>963026P005</v>
          </cell>
          <cell r="D772">
            <v>3</v>
          </cell>
          <cell r="E772">
            <v>0</v>
          </cell>
          <cell r="F772">
            <v>513</v>
          </cell>
          <cell r="G772" t="str">
            <v>DD/M</v>
          </cell>
          <cell r="H772">
            <v>0</v>
          </cell>
          <cell r="I772">
            <v>100</v>
          </cell>
        </row>
        <row r="773">
          <cell r="C773" t="str">
            <v>963026P006</v>
          </cell>
          <cell r="D773">
            <v>3</v>
          </cell>
          <cell r="E773">
            <v>0</v>
          </cell>
          <cell r="F773">
            <v>513</v>
          </cell>
          <cell r="G773" t="str">
            <v>DD/M</v>
          </cell>
          <cell r="H773">
            <v>0</v>
          </cell>
          <cell r="I773">
            <v>100</v>
          </cell>
        </row>
        <row r="774">
          <cell r="C774" t="str">
            <v>963026P014</v>
          </cell>
          <cell r="D774">
            <v>3</v>
          </cell>
          <cell r="E774">
            <v>0</v>
          </cell>
          <cell r="F774">
            <v>513</v>
          </cell>
          <cell r="G774" t="str">
            <v>DD/M</v>
          </cell>
          <cell r="H774">
            <v>0</v>
          </cell>
          <cell r="I774">
            <v>100</v>
          </cell>
        </row>
        <row r="775">
          <cell r="C775" t="str">
            <v>963026P202</v>
          </cell>
          <cell r="D775">
            <v>3</v>
          </cell>
          <cell r="E775">
            <v>0</v>
          </cell>
          <cell r="F775">
            <v>513</v>
          </cell>
          <cell r="G775" t="str">
            <v>DD/M</v>
          </cell>
          <cell r="H775">
            <v>0</v>
          </cell>
          <cell r="I775">
            <v>100</v>
          </cell>
        </row>
        <row r="776">
          <cell r="C776" t="str">
            <v>963026P205</v>
          </cell>
          <cell r="D776">
            <v>3</v>
          </cell>
          <cell r="E776">
            <v>0</v>
          </cell>
          <cell r="F776">
            <v>513</v>
          </cell>
          <cell r="G776" t="str">
            <v>DD/M</v>
          </cell>
          <cell r="H776">
            <v>0</v>
          </cell>
          <cell r="I776">
            <v>100</v>
          </cell>
        </row>
        <row r="777">
          <cell r="C777" t="str">
            <v>963026P206</v>
          </cell>
          <cell r="D777">
            <v>3</v>
          </cell>
          <cell r="E777">
            <v>0</v>
          </cell>
          <cell r="F777">
            <v>513</v>
          </cell>
          <cell r="G777" t="str">
            <v>DD/M</v>
          </cell>
          <cell r="H777">
            <v>0</v>
          </cell>
          <cell r="I777">
            <v>100</v>
          </cell>
        </row>
        <row r="778">
          <cell r="C778" t="str">
            <v>963026P207</v>
          </cell>
          <cell r="D778">
            <v>3</v>
          </cell>
          <cell r="E778">
            <v>0</v>
          </cell>
          <cell r="F778">
            <v>513</v>
          </cell>
          <cell r="G778" t="str">
            <v>DD/M</v>
          </cell>
          <cell r="H778">
            <v>0</v>
          </cell>
          <cell r="I778">
            <v>100</v>
          </cell>
        </row>
        <row r="779">
          <cell r="C779" t="str">
            <v>963026P209</v>
          </cell>
          <cell r="D779">
            <v>3</v>
          </cell>
          <cell r="E779">
            <v>0</v>
          </cell>
          <cell r="F779">
            <v>513</v>
          </cell>
          <cell r="G779" t="str">
            <v>DD/M</v>
          </cell>
          <cell r="H779">
            <v>0</v>
          </cell>
          <cell r="I779">
            <v>100</v>
          </cell>
        </row>
        <row r="780">
          <cell r="C780" t="str">
            <v>963026P211</v>
          </cell>
          <cell r="D780">
            <v>3</v>
          </cell>
          <cell r="E780">
            <v>0</v>
          </cell>
          <cell r="F780">
            <v>513</v>
          </cell>
          <cell r="G780" t="str">
            <v>DD/M</v>
          </cell>
          <cell r="H780">
            <v>0</v>
          </cell>
          <cell r="I780">
            <v>100</v>
          </cell>
        </row>
        <row r="781">
          <cell r="C781" t="str">
            <v>963026P214</v>
          </cell>
          <cell r="D781">
            <v>3</v>
          </cell>
          <cell r="E781">
            <v>0</v>
          </cell>
          <cell r="F781">
            <v>513</v>
          </cell>
          <cell r="G781" t="str">
            <v>DD/M</v>
          </cell>
          <cell r="H781">
            <v>0</v>
          </cell>
          <cell r="I781">
            <v>100</v>
          </cell>
        </row>
        <row r="782">
          <cell r="C782" t="str">
            <v>963026P305</v>
          </cell>
          <cell r="D782">
            <v>3</v>
          </cell>
          <cell r="E782">
            <v>0</v>
          </cell>
          <cell r="F782">
            <v>513</v>
          </cell>
          <cell r="G782" t="str">
            <v>D/M</v>
          </cell>
          <cell r="H782">
            <v>0</v>
          </cell>
          <cell r="I782">
            <v>10</v>
          </cell>
        </row>
        <row r="783">
          <cell r="C783" t="str">
            <v>963026P307</v>
          </cell>
          <cell r="D783">
            <v>3</v>
          </cell>
          <cell r="E783">
            <v>0</v>
          </cell>
          <cell r="F783">
            <v>513</v>
          </cell>
          <cell r="G783" t="str">
            <v>D/M</v>
          </cell>
          <cell r="H783">
            <v>0</v>
          </cell>
          <cell r="I783">
            <v>10</v>
          </cell>
        </row>
        <row r="784">
          <cell r="C784" t="str">
            <v>963026P309</v>
          </cell>
          <cell r="D784">
            <v>3</v>
          </cell>
          <cell r="E784">
            <v>0</v>
          </cell>
          <cell r="F784">
            <v>513</v>
          </cell>
          <cell r="G784" t="str">
            <v>D/M</v>
          </cell>
          <cell r="H784">
            <v>0</v>
          </cell>
          <cell r="I784">
            <v>10</v>
          </cell>
        </row>
        <row r="785">
          <cell r="C785" t="str">
            <v>963026P311</v>
          </cell>
          <cell r="D785">
            <v>3</v>
          </cell>
          <cell r="E785">
            <v>0</v>
          </cell>
          <cell r="F785">
            <v>513</v>
          </cell>
          <cell r="G785" t="str">
            <v>D/M</v>
          </cell>
          <cell r="H785">
            <v>0</v>
          </cell>
          <cell r="I785">
            <v>10</v>
          </cell>
        </row>
        <row r="786">
          <cell r="C786" t="str">
            <v>963026P314</v>
          </cell>
          <cell r="D786">
            <v>3</v>
          </cell>
          <cell r="E786">
            <v>0</v>
          </cell>
          <cell r="F786">
            <v>513</v>
          </cell>
          <cell r="G786" t="str">
            <v>D/M</v>
          </cell>
          <cell r="H786">
            <v>0</v>
          </cell>
          <cell r="I786">
            <v>10</v>
          </cell>
        </row>
        <row r="787">
          <cell r="C787" t="str">
            <v>963026P505</v>
          </cell>
          <cell r="D787">
            <v>3</v>
          </cell>
          <cell r="E787">
            <v>0</v>
          </cell>
          <cell r="F787">
            <v>513</v>
          </cell>
          <cell r="G787" t="str">
            <v>D/M</v>
          </cell>
          <cell r="H787">
            <v>0</v>
          </cell>
          <cell r="I787">
            <v>5</v>
          </cell>
        </row>
        <row r="788">
          <cell r="C788" t="str">
            <v>963026P507</v>
          </cell>
          <cell r="D788">
            <v>3</v>
          </cell>
          <cell r="E788">
            <v>0</v>
          </cell>
          <cell r="F788">
            <v>513</v>
          </cell>
          <cell r="G788" t="str">
            <v>D/M</v>
          </cell>
          <cell r="H788">
            <v>0</v>
          </cell>
          <cell r="I788">
            <v>5</v>
          </cell>
        </row>
        <row r="789">
          <cell r="C789" t="str">
            <v>963026P514</v>
          </cell>
          <cell r="D789">
            <v>1</v>
          </cell>
          <cell r="E789">
            <v>0</v>
          </cell>
          <cell r="F789">
            <v>513</v>
          </cell>
          <cell r="G789" t="str">
            <v>DD/M</v>
          </cell>
          <cell r="H789" t="str">
            <v>G160</v>
          </cell>
          <cell r="I789">
            <v>10</v>
          </cell>
        </row>
        <row r="790">
          <cell r="C790" t="str">
            <v>963026P900</v>
          </cell>
          <cell r="D790">
            <v>3</v>
          </cell>
          <cell r="E790">
            <v>0</v>
          </cell>
          <cell r="F790">
            <v>513</v>
          </cell>
          <cell r="G790" t="str">
            <v>ERC/M</v>
          </cell>
          <cell r="H790">
            <v>0</v>
          </cell>
          <cell r="I790">
            <v>100</v>
          </cell>
        </row>
        <row r="791">
          <cell r="C791" t="str">
            <v>963027P005</v>
          </cell>
          <cell r="D791">
            <v>3</v>
          </cell>
          <cell r="E791">
            <v>0</v>
          </cell>
          <cell r="F791">
            <v>513</v>
          </cell>
          <cell r="G791" t="str">
            <v>DD/M</v>
          </cell>
          <cell r="H791">
            <v>0</v>
          </cell>
          <cell r="I791">
            <v>70</v>
          </cell>
        </row>
        <row r="792">
          <cell r="C792" t="str">
            <v>963027P006</v>
          </cell>
          <cell r="D792">
            <v>3</v>
          </cell>
          <cell r="E792">
            <v>0</v>
          </cell>
          <cell r="F792">
            <v>513</v>
          </cell>
          <cell r="G792" t="str">
            <v>DD/M</v>
          </cell>
          <cell r="H792">
            <v>0</v>
          </cell>
          <cell r="I792">
            <v>70</v>
          </cell>
        </row>
        <row r="793">
          <cell r="C793" t="str">
            <v>963027P014</v>
          </cell>
          <cell r="D793">
            <v>3</v>
          </cell>
          <cell r="E793">
            <v>0</v>
          </cell>
          <cell r="F793">
            <v>513</v>
          </cell>
          <cell r="G793" t="str">
            <v>DD/M</v>
          </cell>
          <cell r="H793">
            <v>0</v>
          </cell>
          <cell r="I793">
            <v>70</v>
          </cell>
        </row>
        <row r="794">
          <cell r="C794" t="str">
            <v>963027P205</v>
          </cell>
          <cell r="D794">
            <v>3</v>
          </cell>
          <cell r="E794">
            <v>0</v>
          </cell>
          <cell r="F794">
            <v>513</v>
          </cell>
          <cell r="G794" t="str">
            <v>DD/M</v>
          </cell>
          <cell r="H794">
            <v>0</v>
          </cell>
          <cell r="I794">
            <v>70</v>
          </cell>
        </row>
        <row r="795">
          <cell r="C795" t="str">
            <v>963027P206</v>
          </cell>
          <cell r="D795">
            <v>3</v>
          </cell>
          <cell r="E795">
            <v>0</v>
          </cell>
          <cell r="F795">
            <v>513</v>
          </cell>
          <cell r="G795" t="str">
            <v>DD/M</v>
          </cell>
          <cell r="H795">
            <v>0</v>
          </cell>
          <cell r="I795">
            <v>70</v>
          </cell>
        </row>
        <row r="796">
          <cell r="C796" t="str">
            <v>963027P214</v>
          </cell>
          <cell r="D796">
            <v>3</v>
          </cell>
          <cell r="E796">
            <v>0</v>
          </cell>
          <cell r="F796">
            <v>513</v>
          </cell>
          <cell r="G796" t="str">
            <v>DD/M</v>
          </cell>
          <cell r="H796">
            <v>0</v>
          </cell>
          <cell r="I796">
            <v>70</v>
          </cell>
        </row>
        <row r="797">
          <cell r="C797" t="str">
            <v>963056P900</v>
          </cell>
          <cell r="D797">
            <v>3</v>
          </cell>
          <cell r="E797">
            <v>0</v>
          </cell>
          <cell r="F797">
            <v>513</v>
          </cell>
          <cell r="G797" t="str">
            <v>RE1NF</v>
          </cell>
          <cell r="H797">
            <v>0</v>
          </cell>
          <cell r="I797">
            <v>100</v>
          </cell>
        </row>
        <row r="798">
          <cell r="C798" t="str">
            <v>963066P900</v>
          </cell>
          <cell r="D798">
            <v>3</v>
          </cell>
          <cell r="E798">
            <v>0</v>
          </cell>
          <cell r="F798">
            <v>513</v>
          </cell>
          <cell r="G798" t="str">
            <v>RE1NF</v>
          </cell>
          <cell r="H798">
            <v>0</v>
          </cell>
          <cell r="I798">
            <v>100</v>
          </cell>
        </row>
        <row r="799">
          <cell r="C799" t="str">
            <v>963210P000</v>
          </cell>
          <cell r="D799">
            <v>2</v>
          </cell>
          <cell r="E799">
            <v>0</v>
          </cell>
          <cell r="F799">
            <v>563</v>
          </cell>
          <cell r="G799" t="str">
            <v>GP/M</v>
          </cell>
          <cell r="H799">
            <v>0</v>
          </cell>
          <cell r="I799">
            <v>500</v>
          </cell>
        </row>
        <row r="800">
          <cell r="C800" t="str">
            <v>963210P500</v>
          </cell>
          <cell r="D800">
            <v>2</v>
          </cell>
          <cell r="E800">
            <v>0</v>
          </cell>
          <cell r="F800">
            <v>563</v>
          </cell>
          <cell r="G800" t="str">
            <v>GP/M</v>
          </cell>
          <cell r="H800">
            <v>0</v>
          </cell>
          <cell r="I800">
            <v>200</v>
          </cell>
        </row>
        <row r="801">
          <cell r="C801" t="str">
            <v>963216P100</v>
          </cell>
          <cell r="D801">
            <v>3</v>
          </cell>
          <cell r="E801">
            <v>0</v>
          </cell>
          <cell r="F801">
            <v>563</v>
          </cell>
          <cell r="G801" t="str">
            <v>GP/M</v>
          </cell>
          <cell r="H801">
            <v>0</v>
          </cell>
          <cell r="I801">
            <v>100</v>
          </cell>
        </row>
        <row r="802">
          <cell r="C802" t="str">
            <v>963216P200</v>
          </cell>
          <cell r="D802">
            <v>3</v>
          </cell>
          <cell r="E802">
            <v>0</v>
          </cell>
          <cell r="F802">
            <v>563</v>
          </cell>
          <cell r="G802" t="str">
            <v>GP/M</v>
          </cell>
          <cell r="H802">
            <v>0</v>
          </cell>
          <cell r="I802">
            <v>600</v>
          </cell>
        </row>
        <row r="803">
          <cell r="C803" t="str">
            <v>963216P204</v>
          </cell>
          <cell r="D803">
            <v>3</v>
          </cell>
          <cell r="E803">
            <v>0</v>
          </cell>
          <cell r="F803">
            <v>563</v>
          </cell>
          <cell r="G803" t="str">
            <v>GP/M</v>
          </cell>
          <cell r="H803">
            <v>0</v>
          </cell>
          <cell r="I803">
            <v>600</v>
          </cell>
        </row>
        <row r="804">
          <cell r="C804" t="str">
            <v>963216P500</v>
          </cell>
          <cell r="D804">
            <v>3</v>
          </cell>
          <cell r="E804">
            <v>0</v>
          </cell>
          <cell r="F804">
            <v>563</v>
          </cell>
          <cell r="G804" t="str">
            <v>GP/M</v>
          </cell>
          <cell r="H804">
            <v>0</v>
          </cell>
          <cell r="I804">
            <v>500</v>
          </cell>
        </row>
        <row r="805">
          <cell r="C805" t="str">
            <v>9632805G00</v>
          </cell>
          <cell r="D805">
            <v>3</v>
          </cell>
          <cell r="E805">
            <v>0</v>
          </cell>
          <cell r="F805">
            <v>563</v>
          </cell>
          <cell r="G805" t="str">
            <v>RUB</v>
          </cell>
          <cell r="H805">
            <v>0</v>
          </cell>
          <cell r="I805">
            <v>1000</v>
          </cell>
        </row>
        <row r="806">
          <cell r="C806" t="str">
            <v>963283H000</v>
          </cell>
          <cell r="D806">
            <v>1</v>
          </cell>
          <cell r="E806">
            <v>0</v>
          </cell>
          <cell r="F806">
            <v>563</v>
          </cell>
          <cell r="G806" t="str">
            <v>RUB</v>
          </cell>
          <cell r="H806" t="str">
            <v>H009</v>
          </cell>
          <cell r="I806">
            <v>50</v>
          </cell>
        </row>
        <row r="807">
          <cell r="C807" t="str">
            <v>9632844L00</v>
          </cell>
          <cell r="D807">
            <v>3</v>
          </cell>
          <cell r="E807">
            <v>0</v>
          </cell>
          <cell r="F807">
            <v>563</v>
          </cell>
          <cell r="G807" t="str">
            <v>RUB</v>
          </cell>
          <cell r="H807">
            <v>0</v>
          </cell>
          <cell r="I807">
            <v>300</v>
          </cell>
        </row>
        <row r="808">
          <cell r="C808" t="str">
            <v>963290P000</v>
          </cell>
          <cell r="D808">
            <v>2</v>
          </cell>
          <cell r="E808">
            <v>0</v>
          </cell>
          <cell r="F808">
            <v>563</v>
          </cell>
          <cell r="G808" t="str">
            <v>C0VER</v>
          </cell>
          <cell r="H808">
            <v>0</v>
          </cell>
          <cell r="I808">
            <v>500</v>
          </cell>
        </row>
        <row r="809">
          <cell r="C809" t="str">
            <v>963290P500</v>
          </cell>
          <cell r="D809">
            <v>2</v>
          </cell>
          <cell r="E809">
            <v>0</v>
          </cell>
          <cell r="F809">
            <v>563</v>
          </cell>
          <cell r="G809" t="str">
            <v>C0VER</v>
          </cell>
          <cell r="H809">
            <v>0</v>
          </cell>
          <cell r="I809">
            <v>200</v>
          </cell>
        </row>
        <row r="810">
          <cell r="C810" t="str">
            <v>963296P100</v>
          </cell>
          <cell r="D810">
            <v>3</v>
          </cell>
          <cell r="E810">
            <v>0</v>
          </cell>
          <cell r="F810">
            <v>563</v>
          </cell>
          <cell r="G810" t="str">
            <v>C0VER</v>
          </cell>
          <cell r="H810">
            <v>0</v>
          </cell>
          <cell r="I810">
            <v>600</v>
          </cell>
        </row>
        <row r="811">
          <cell r="C811" t="str">
            <v>963296P104</v>
          </cell>
          <cell r="D811">
            <v>3</v>
          </cell>
          <cell r="E811">
            <v>0</v>
          </cell>
          <cell r="F811">
            <v>563</v>
          </cell>
          <cell r="G811" t="str">
            <v>C0VER</v>
          </cell>
          <cell r="H811">
            <v>0</v>
          </cell>
          <cell r="I811">
            <v>500</v>
          </cell>
        </row>
        <row r="812">
          <cell r="C812" t="str">
            <v>963296P500</v>
          </cell>
          <cell r="D812">
            <v>3</v>
          </cell>
          <cell r="E812">
            <v>0</v>
          </cell>
          <cell r="F812">
            <v>563</v>
          </cell>
          <cell r="G812" t="str">
            <v>C0VER</v>
          </cell>
          <cell r="H812">
            <v>0</v>
          </cell>
          <cell r="I812">
            <v>1000</v>
          </cell>
        </row>
        <row r="813">
          <cell r="C813" t="str">
            <v>969123H900</v>
          </cell>
          <cell r="D813">
            <v>1</v>
          </cell>
          <cell r="E813">
            <v>0</v>
          </cell>
          <cell r="F813">
            <v>415</v>
          </cell>
          <cell r="G813" t="str">
            <v>C0VER</v>
          </cell>
          <cell r="H813" t="str">
            <v>D109</v>
          </cell>
          <cell r="I813">
            <v>100</v>
          </cell>
        </row>
        <row r="814">
          <cell r="C814" t="str">
            <v>969123H901</v>
          </cell>
          <cell r="D814">
            <v>1</v>
          </cell>
          <cell r="E814">
            <v>0</v>
          </cell>
          <cell r="F814">
            <v>415</v>
          </cell>
          <cell r="G814" t="str">
            <v>C0VER</v>
          </cell>
          <cell r="H814" t="str">
            <v>D109</v>
          </cell>
          <cell r="I814">
            <v>100</v>
          </cell>
        </row>
        <row r="815">
          <cell r="C815" t="str">
            <v>969803H000</v>
          </cell>
          <cell r="D815">
            <v>1</v>
          </cell>
          <cell r="E815">
            <v>0</v>
          </cell>
          <cell r="F815">
            <v>415</v>
          </cell>
          <cell r="G815" t="str">
            <v>C0N/L</v>
          </cell>
          <cell r="H815" t="str">
            <v>D100</v>
          </cell>
          <cell r="I815">
            <v>100</v>
          </cell>
        </row>
        <row r="816">
          <cell r="C816" t="str">
            <v>969803H002</v>
          </cell>
          <cell r="D816">
            <v>1</v>
          </cell>
          <cell r="E816">
            <v>0</v>
          </cell>
          <cell r="F816">
            <v>415</v>
          </cell>
          <cell r="G816" t="str">
            <v>C0N/L</v>
          </cell>
          <cell r="H816" t="str">
            <v>D100</v>
          </cell>
          <cell r="I816">
            <v>100</v>
          </cell>
        </row>
        <row r="817">
          <cell r="C817" t="str">
            <v>969804P000</v>
          </cell>
          <cell r="D817">
            <v>3</v>
          </cell>
          <cell r="E817">
            <v>0</v>
          </cell>
          <cell r="F817">
            <v>415</v>
          </cell>
          <cell r="G817" t="str">
            <v>C0N/L</v>
          </cell>
          <cell r="H817">
            <v>0</v>
          </cell>
          <cell r="I817">
            <v>10</v>
          </cell>
        </row>
        <row r="818">
          <cell r="C818" t="str">
            <v>969806P002</v>
          </cell>
          <cell r="D818">
            <v>3</v>
          </cell>
          <cell r="E818">
            <v>0</v>
          </cell>
          <cell r="F818">
            <v>415</v>
          </cell>
          <cell r="G818" t="str">
            <v>C0N/L</v>
          </cell>
          <cell r="H818">
            <v>0</v>
          </cell>
          <cell r="I818">
            <v>50</v>
          </cell>
        </row>
        <row r="819">
          <cell r="C819" t="str">
            <v>969806P004</v>
          </cell>
          <cell r="D819">
            <v>3</v>
          </cell>
          <cell r="E819">
            <v>0</v>
          </cell>
          <cell r="F819">
            <v>415</v>
          </cell>
          <cell r="G819" t="str">
            <v>C0N/L</v>
          </cell>
          <cell r="H819">
            <v>0</v>
          </cell>
          <cell r="I819">
            <v>50</v>
          </cell>
        </row>
        <row r="820">
          <cell r="C820" t="str">
            <v>26010AK000</v>
          </cell>
          <cell r="D820">
            <v>1</v>
          </cell>
          <cell r="E820">
            <v>0</v>
          </cell>
          <cell r="F820">
            <v>151</v>
          </cell>
          <cell r="G820" t="str">
            <v>H/L</v>
          </cell>
          <cell r="H820" t="str">
            <v>A190</v>
          </cell>
          <cell r="I820">
            <v>1800</v>
          </cell>
        </row>
        <row r="821">
          <cell r="C821" t="str">
            <v>26010AK010</v>
          </cell>
          <cell r="D821">
            <v>1</v>
          </cell>
          <cell r="E821">
            <v>0</v>
          </cell>
          <cell r="F821">
            <v>151</v>
          </cell>
          <cell r="G821" t="str">
            <v>H/L</v>
          </cell>
          <cell r="H821" t="str">
            <v>A400</v>
          </cell>
          <cell r="I821">
            <v>750</v>
          </cell>
        </row>
        <row r="822">
          <cell r="C822" t="str">
            <v>26010AK020</v>
          </cell>
          <cell r="D822">
            <v>1</v>
          </cell>
          <cell r="E822">
            <v>0</v>
          </cell>
          <cell r="F822">
            <v>151</v>
          </cell>
          <cell r="G822" t="str">
            <v>H/L</v>
          </cell>
          <cell r="H822" t="str">
            <v>A190</v>
          </cell>
          <cell r="I822">
            <v>1000</v>
          </cell>
        </row>
        <row r="823">
          <cell r="C823" t="str">
            <v>26060AK000</v>
          </cell>
          <cell r="D823">
            <v>1</v>
          </cell>
          <cell r="E823">
            <v>0</v>
          </cell>
          <cell r="F823">
            <v>151</v>
          </cell>
          <cell r="G823" t="str">
            <v>H/L</v>
          </cell>
          <cell r="H823" t="str">
            <v>A190</v>
          </cell>
          <cell r="I823">
            <v>1800</v>
          </cell>
        </row>
        <row r="824">
          <cell r="C824" t="str">
            <v>26060AK010</v>
          </cell>
          <cell r="D824">
            <v>1</v>
          </cell>
          <cell r="E824">
            <v>0</v>
          </cell>
          <cell r="F824">
            <v>151</v>
          </cell>
          <cell r="G824" t="str">
            <v>H/L</v>
          </cell>
          <cell r="H824" t="str">
            <v>A400</v>
          </cell>
          <cell r="I824">
            <v>750</v>
          </cell>
        </row>
        <row r="825">
          <cell r="C825" t="str">
            <v>26060AK020</v>
          </cell>
          <cell r="D825">
            <v>1</v>
          </cell>
          <cell r="E825">
            <v>0</v>
          </cell>
          <cell r="F825">
            <v>151</v>
          </cell>
          <cell r="G825" t="str">
            <v>H/L</v>
          </cell>
          <cell r="H825" t="str">
            <v>A190</v>
          </cell>
          <cell r="I825">
            <v>1000</v>
          </cell>
        </row>
        <row r="826">
          <cell r="C826" t="str">
            <v>264305L301</v>
          </cell>
          <cell r="D826">
            <v>3</v>
          </cell>
          <cell r="E826">
            <v>0</v>
          </cell>
          <cell r="F826">
            <v>415</v>
          </cell>
          <cell r="G826" t="str">
            <v>MAP/L</v>
          </cell>
          <cell r="H826">
            <v>0</v>
          </cell>
          <cell r="I826">
            <v>3400</v>
          </cell>
        </row>
        <row r="827">
          <cell r="C827" t="str">
            <v>2647060U00</v>
          </cell>
          <cell r="D827">
            <v>3</v>
          </cell>
          <cell r="E827">
            <v>0</v>
          </cell>
          <cell r="F827">
            <v>415</v>
          </cell>
          <cell r="G827" t="str">
            <v>T.R/L</v>
          </cell>
          <cell r="H827">
            <v>0</v>
          </cell>
          <cell r="I827">
            <v>3400</v>
          </cell>
        </row>
        <row r="828">
          <cell r="C828" t="str">
            <v>265103J100</v>
          </cell>
          <cell r="D828">
            <v>3</v>
          </cell>
          <cell r="E828">
            <v>0</v>
          </cell>
          <cell r="F828">
            <v>415</v>
          </cell>
          <cell r="G828" t="str">
            <v>L/L</v>
          </cell>
          <cell r="H828">
            <v>0</v>
          </cell>
          <cell r="I828">
            <v>6800</v>
          </cell>
        </row>
        <row r="829">
          <cell r="C829" t="str">
            <v>265507E610</v>
          </cell>
          <cell r="D829">
            <v>3</v>
          </cell>
          <cell r="E829">
            <v>0</v>
          </cell>
          <cell r="F829">
            <v>214</v>
          </cell>
          <cell r="G829" t="str">
            <v>R.C/L</v>
          </cell>
          <cell r="H829">
            <v>0</v>
          </cell>
          <cell r="I829">
            <v>3400</v>
          </cell>
        </row>
        <row r="830">
          <cell r="C830" t="str">
            <v>265557E610</v>
          </cell>
          <cell r="D830">
            <v>3</v>
          </cell>
          <cell r="E830">
            <v>0</v>
          </cell>
          <cell r="F830">
            <v>214</v>
          </cell>
          <cell r="G830" t="str">
            <v>R.C/L</v>
          </cell>
          <cell r="H830">
            <v>0</v>
          </cell>
          <cell r="I830">
            <v>3400</v>
          </cell>
        </row>
        <row r="831">
          <cell r="C831" t="str">
            <v>265907E600</v>
          </cell>
          <cell r="D831">
            <v>3</v>
          </cell>
          <cell r="E831">
            <v>0</v>
          </cell>
          <cell r="F831">
            <v>414</v>
          </cell>
          <cell r="G831" t="str">
            <v>H.MS/L</v>
          </cell>
          <cell r="H831">
            <v>0</v>
          </cell>
          <cell r="I831">
            <v>400</v>
          </cell>
        </row>
        <row r="832">
          <cell r="C832" t="str">
            <v>265908E020</v>
          </cell>
          <cell r="D832">
            <v>3</v>
          </cell>
          <cell r="E832">
            <v>0</v>
          </cell>
          <cell r="F832">
            <v>415</v>
          </cell>
          <cell r="G832" t="str">
            <v>H.MS/L</v>
          </cell>
          <cell r="H832">
            <v>0</v>
          </cell>
          <cell r="I832">
            <v>2500</v>
          </cell>
        </row>
        <row r="833">
          <cell r="C833" t="str">
            <v>265908E022</v>
          </cell>
          <cell r="D833">
            <v>3</v>
          </cell>
          <cell r="E833">
            <v>0</v>
          </cell>
          <cell r="F833">
            <v>415</v>
          </cell>
          <cell r="G833" t="str">
            <v>H.MS/L</v>
          </cell>
          <cell r="H833">
            <v>0</v>
          </cell>
          <cell r="I833">
            <v>500</v>
          </cell>
        </row>
        <row r="834">
          <cell r="C834" t="str">
            <v>2888150J05</v>
          </cell>
          <cell r="D834">
            <v>3</v>
          </cell>
          <cell r="E834">
            <v>0</v>
          </cell>
          <cell r="F834">
            <v>714</v>
          </cell>
          <cell r="G834" t="str">
            <v>W/A</v>
          </cell>
          <cell r="H834">
            <v>0</v>
          </cell>
          <cell r="I834">
            <v>3400</v>
          </cell>
        </row>
        <row r="835">
          <cell r="C835" t="str">
            <v>2888250J00</v>
          </cell>
          <cell r="D835">
            <v>3</v>
          </cell>
          <cell r="E835">
            <v>0</v>
          </cell>
          <cell r="F835">
            <v>714</v>
          </cell>
          <cell r="G835" t="str">
            <v>W/AC0V</v>
          </cell>
          <cell r="H835">
            <v>0</v>
          </cell>
          <cell r="I835">
            <v>6800</v>
          </cell>
        </row>
        <row r="836">
          <cell r="C836" t="str">
            <v>288863J100</v>
          </cell>
          <cell r="D836">
            <v>3</v>
          </cell>
          <cell r="E836">
            <v>0</v>
          </cell>
          <cell r="F836">
            <v>714</v>
          </cell>
          <cell r="G836" t="str">
            <v>W/A</v>
          </cell>
          <cell r="H836">
            <v>0</v>
          </cell>
          <cell r="I836">
            <v>3400</v>
          </cell>
        </row>
        <row r="837">
          <cell r="C837" t="str">
            <v>288900E000</v>
          </cell>
          <cell r="D837">
            <v>3</v>
          </cell>
          <cell r="E837">
            <v>0</v>
          </cell>
          <cell r="F837">
            <v>714</v>
          </cell>
          <cell r="G837" t="str">
            <v>W/B</v>
          </cell>
          <cell r="H837">
            <v>0</v>
          </cell>
          <cell r="I837">
            <v>3400</v>
          </cell>
        </row>
        <row r="838">
          <cell r="C838" t="str">
            <v>288903J100</v>
          </cell>
          <cell r="D838">
            <v>3</v>
          </cell>
          <cell r="E838">
            <v>0</v>
          </cell>
          <cell r="F838">
            <v>714</v>
          </cell>
          <cell r="G838" t="str">
            <v>W/B</v>
          </cell>
          <cell r="H838">
            <v>0</v>
          </cell>
          <cell r="I838">
            <v>3400</v>
          </cell>
        </row>
        <row r="839">
          <cell r="C839" t="str">
            <v>963018E000</v>
          </cell>
          <cell r="D839">
            <v>3</v>
          </cell>
          <cell r="E839">
            <v>0</v>
          </cell>
          <cell r="F839">
            <v>513</v>
          </cell>
          <cell r="G839" t="str">
            <v>D/M</v>
          </cell>
          <cell r="H839">
            <v>0</v>
          </cell>
          <cell r="I839">
            <v>2700</v>
          </cell>
        </row>
        <row r="840">
          <cell r="C840" t="str">
            <v>963018E100</v>
          </cell>
          <cell r="D840">
            <v>3</v>
          </cell>
          <cell r="E840">
            <v>0</v>
          </cell>
          <cell r="F840">
            <v>513</v>
          </cell>
          <cell r="G840" t="str">
            <v>D/M</v>
          </cell>
          <cell r="H840">
            <v>0</v>
          </cell>
          <cell r="I840">
            <v>400</v>
          </cell>
        </row>
        <row r="841">
          <cell r="C841" t="str">
            <v>963018E200</v>
          </cell>
          <cell r="D841">
            <v>3</v>
          </cell>
          <cell r="E841">
            <v>0</v>
          </cell>
          <cell r="F841">
            <v>513</v>
          </cell>
          <cell r="G841" t="str">
            <v>D/M</v>
          </cell>
          <cell r="H841">
            <v>0</v>
          </cell>
          <cell r="I841">
            <v>250</v>
          </cell>
        </row>
        <row r="842">
          <cell r="C842" t="str">
            <v>963018E700</v>
          </cell>
          <cell r="D842">
            <v>3</v>
          </cell>
          <cell r="E842">
            <v>0</v>
          </cell>
          <cell r="F842">
            <v>513</v>
          </cell>
          <cell r="G842" t="str">
            <v>D/M</v>
          </cell>
          <cell r="H842">
            <v>0</v>
          </cell>
          <cell r="I842">
            <v>40</v>
          </cell>
        </row>
        <row r="843">
          <cell r="C843" t="str">
            <v>963018E800</v>
          </cell>
          <cell r="D843">
            <v>3</v>
          </cell>
          <cell r="E843">
            <v>0</v>
          </cell>
          <cell r="F843">
            <v>513</v>
          </cell>
          <cell r="G843" t="str">
            <v>0/M</v>
          </cell>
          <cell r="H843">
            <v>0</v>
          </cell>
          <cell r="I843">
            <v>10</v>
          </cell>
        </row>
        <row r="844">
          <cell r="C844" t="str">
            <v>963028E000</v>
          </cell>
          <cell r="D844">
            <v>3</v>
          </cell>
          <cell r="E844">
            <v>0</v>
          </cell>
          <cell r="F844">
            <v>513</v>
          </cell>
          <cell r="G844" t="str">
            <v>D/M</v>
          </cell>
          <cell r="H844">
            <v>0</v>
          </cell>
          <cell r="I844">
            <v>2700</v>
          </cell>
        </row>
        <row r="845">
          <cell r="C845" t="str">
            <v>963028E100</v>
          </cell>
          <cell r="D845">
            <v>3</v>
          </cell>
          <cell r="E845">
            <v>0</v>
          </cell>
          <cell r="F845">
            <v>513</v>
          </cell>
          <cell r="G845" t="str">
            <v>D/M</v>
          </cell>
          <cell r="H845">
            <v>0</v>
          </cell>
          <cell r="I845">
            <v>400</v>
          </cell>
        </row>
        <row r="846">
          <cell r="C846" t="str">
            <v>963028E200</v>
          </cell>
          <cell r="D846">
            <v>3</v>
          </cell>
          <cell r="E846">
            <v>0</v>
          </cell>
          <cell r="F846">
            <v>513</v>
          </cell>
          <cell r="G846" t="str">
            <v>D/M</v>
          </cell>
          <cell r="H846">
            <v>0</v>
          </cell>
          <cell r="I846">
            <v>250</v>
          </cell>
        </row>
        <row r="847">
          <cell r="C847" t="str">
            <v>963028E700</v>
          </cell>
          <cell r="D847">
            <v>3</v>
          </cell>
          <cell r="E847">
            <v>0</v>
          </cell>
          <cell r="F847">
            <v>513</v>
          </cell>
          <cell r="G847" t="str">
            <v>D/M</v>
          </cell>
          <cell r="H847">
            <v>0</v>
          </cell>
          <cell r="I847">
            <v>40</v>
          </cell>
        </row>
        <row r="848">
          <cell r="C848" t="str">
            <v>963028E800</v>
          </cell>
          <cell r="D848">
            <v>3</v>
          </cell>
          <cell r="E848">
            <v>0</v>
          </cell>
          <cell r="F848">
            <v>513</v>
          </cell>
          <cell r="G848" t="str">
            <v>0/M</v>
          </cell>
          <cell r="H848">
            <v>0</v>
          </cell>
          <cell r="I848">
            <v>10</v>
          </cell>
        </row>
        <row r="849">
          <cell r="C849" t="str">
            <v>963030N302</v>
          </cell>
          <cell r="D849">
            <v>3</v>
          </cell>
          <cell r="E849">
            <v>0</v>
          </cell>
          <cell r="F849">
            <v>513</v>
          </cell>
          <cell r="G849" t="str">
            <v>D/MC0V</v>
          </cell>
          <cell r="H849">
            <v>0</v>
          </cell>
          <cell r="I849">
            <v>300</v>
          </cell>
        </row>
        <row r="850">
          <cell r="C850" t="str">
            <v>963058E800</v>
          </cell>
          <cell r="D850">
            <v>3</v>
          </cell>
          <cell r="E850">
            <v>0</v>
          </cell>
          <cell r="F850">
            <v>513</v>
          </cell>
          <cell r="G850" t="str">
            <v>0/MRF1</v>
          </cell>
          <cell r="H850">
            <v>0</v>
          </cell>
          <cell r="I850">
            <v>10</v>
          </cell>
        </row>
        <row r="851">
          <cell r="C851" t="str">
            <v>963068E800</v>
          </cell>
          <cell r="D851">
            <v>3</v>
          </cell>
          <cell r="E851">
            <v>0</v>
          </cell>
          <cell r="F851">
            <v>513</v>
          </cell>
          <cell r="G851" t="str">
            <v>0/MRF1</v>
          </cell>
          <cell r="H851">
            <v>0</v>
          </cell>
          <cell r="I851">
            <v>10</v>
          </cell>
        </row>
        <row r="852">
          <cell r="C852" t="str">
            <v>963213J101</v>
          </cell>
          <cell r="D852">
            <v>3</v>
          </cell>
          <cell r="E852">
            <v>0</v>
          </cell>
          <cell r="F852">
            <v>563</v>
          </cell>
          <cell r="G852" t="str">
            <v>I/M</v>
          </cell>
          <cell r="H852">
            <v>0</v>
          </cell>
          <cell r="I852">
            <v>3400</v>
          </cell>
        </row>
        <row r="853">
          <cell r="C853" t="str">
            <v>9632805G00</v>
          </cell>
          <cell r="D853">
            <v>3</v>
          </cell>
          <cell r="E853">
            <v>0</v>
          </cell>
          <cell r="F853">
            <v>563</v>
          </cell>
          <cell r="G853" t="str">
            <v>RUB</v>
          </cell>
          <cell r="H853">
            <v>0</v>
          </cell>
          <cell r="I853">
            <v>3400</v>
          </cell>
        </row>
        <row r="854">
          <cell r="C854" t="str">
            <v>963293J101</v>
          </cell>
          <cell r="D854">
            <v>3</v>
          </cell>
          <cell r="E854">
            <v>0</v>
          </cell>
          <cell r="F854">
            <v>563</v>
          </cell>
          <cell r="G854" t="str">
            <v>C0VER</v>
          </cell>
          <cell r="H854">
            <v>0</v>
          </cell>
          <cell r="I854">
            <v>3400</v>
          </cell>
        </row>
        <row r="855">
          <cell r="C855" t="str">
            <v>963730N301</v>
          </cell>
          <cell r="D855">
            <v>3</v>
          </cell>
          <cell r="E855">
            <v>0</v>
          </cell>
          <cell r="F855">
            <v>513</v>
          </cell>
          <cell r="G855" t="str">
            <v>D/MC0V</v>
          </cell>
          <cell r="H855">
            <v>0</v>
          </cell>
          <cell r="I855">
            <v>100</v>
          </cell>
        </row>
        <row r="856">
          <cell r="C856" t="str">
            <v>963730N310</v>
          </cell>
          <cell r="D856">
            <v>3</v>
          </cell>
          <cell r="E856">
            <v>0</v>
          </cell>
          <cell r="F856">
            <v>513</v>
          </cell>
          <cell r="G856" t="str">
            <v>D/MC0V</v>
          </cell>
          <cell r="H856">
            <v>0</v>
          </cell>
          <cell r="I856">
            <v>20</v>
          </cell>
        </row>
        <row r="857">
          <cell r="C857" t="str">
            <v>963732J114</v>
          </cell>
          <cell r="D857">
            <v>3</v>
          </cell>
          <cell r="E857">
            <v>0</v>
          </cell>
          <cell r="F857">
            <v>513</v>
          </cell>
          <cell r="G857" t="str">
            <v>D/MC0V</v>
          </cell>
          <cell r="H857">
            <v>0</v>
          </cell>
          <cell r="I857">
            <v>20</v>
          </cell>
        </row>
        <row r="858">
          <cell r="C858" t="str">
            <v>963732J117</v>
          </cell>
          <cell r="D858">
            <v>3</v>
          </cell>
          <cell r="E858">
            <v>0</v>
          </cell>
          <cell r="F858">
            <v>513</v>
          </cell>
          <cell r="G858" t="str">
            <v>D/MC0V</v>
          </cell>
          <cell r="H858">
            <v>0</v>
          </cell>
          <cell r="I858">
            <v>1100</v>
          </cell>
        </row>
        <row r="859">
          <cell r="C859" t="str">
            <v>963738E001</v>
          </cell>
          <cell r="D859">
            <v>3</v>
          </cell>
          <cell r="E859">
            <v>0</v>
          </cell>
          <cell r="F859">
            <v>513</v>
          </cell>
          <cell r="G859" t="str">
            <v>D/MC0V</v>
          </cell>
          <cell r="H859">
            <v>0</v>
          </cell>
          <cell r="I859">
            <v>20</v>
          </cell>
        </row>
        <row r="860">
          <cell r="C860" t="str">
            <v>963738E003</v>
          </cell>
          <cell r="D860">
            <v>3</v>
          </cell>
          <cell r="E860">
            <v>0</v>
          </cell>
          <cell r="F860">
            <v>513</v>
          </cell>
          <cell r="G860" t="str">
            <v>D/MC0V</v>
          </cell>
          <cell r="H860">
            <v>0</v>
          </cell>
          <cell r="I860">
            <v>20</v>
          </cell>
        </row>
        <row r="861">
          <cell r="C861" t="str">
            <v>963738E005</v>
          </cell>
          <cell r="D861">
            <v>3</v>
          </cell>
          <cell r="E861">
            <v>0</v>
          </cell>
          <cell r="F861">
            <v>513</v>
          </cell>
          <cell r="G861" t="str">
            <v>D/MC0V</v>
          </cell>
          <cell r="H861">
            <v>0</v>
          </cell>
          <cell r="I861">
            <v>100</v>
          </cell>
        </row>
        <row r="862">
          <cell r="C862" t="str">
            <v>963738E007</v>
          </cell>
          <cell r="D862">
            <v>3</v>
          </cell>
          <cell r="E862">
            <v>0</v>
          </cell>
          <cell r="F862">
            <v>513</v>
          </cell>
          <cell r="G862" t="str">
            <v>D/MC0V</v>
          </cell>
          <cell r="H862">
            <v>0</v>
          </cell>
          <cell r="I862">
            <v>1000</v>
          </cell>
        </row>
        <row r="863">
          <cell r="C863" t="str">
            <v>963738E008</v>
          </cell>
          <cell r="D863">
            <v>3</v>
          </cell>
          <cell r="E863">
            <v>0</v>
          </cell>
          <cell r="F863">
            <v>513</v>
          </cell>
          <cell r="G863" t="str">
            <v>D/MC0V</v>
          </cell>
          <cell r="H863">
            <v>0</v>
          </cell>
          <cell r="I863">
            <v>10</v>
          </cell>
        </row>
        <row r="864">
          <cell r="C864" t="str">
            <v>963738E009</v>
          </cell>
          <cell r="D864">
            <v>3</v>
          </cell>
          <cell r="E864">
            <v>0</v>
          </cell>
          <cell r="F864">
            <v>513</v>
          </cell>
          <cell r="G864" t="str">
            <v>D/MC0V</v>
          </cell>
          <cell r="H864">
            <v>0</v>
          </cell>
          <cell r="I864">
            <v>200</v>
          </cell>
        </row>
        <row r="865">
          <cell r="C865" t="str">
            <v>963738E010</v>
          </cell>
          <cell r="D865">
            <v>2</v>
          </cell>
          <cell r="E865">
            <v>0</v>
          </cell>
          <cell r="F865">
            <v>513</v>
          </cell>
          <cell r="G865" t="str">
            <v>C0VER</v>
          </cell>
          <cell r="H865" t="str">
            <v>G169</v>
          </cell>
          <cell r="I865">
            <v>200</v>
          </cell>
        </row>
        <row r="866">
          <cell r="C866" t="str">
            <v>963738E011</v>
          </cell>
          <cell r="D866">
            <v>2</v>
          </cell>
          <cell r="E866">
            <v>0</v>
          </cell>
          <cell r="F866">
            <v>513</v>
          </cell>
          <cell r="G866" t="str">
            <v>C0VER</v>
          </cell>
          <cell r="H866" t="str">
            <v>G169</v>
          </cell>
          <cell r="I866">
            <v>300</v>
          </cell>
        </row>
        <row r="867">
          <cell r="C867" t="str">
            <v>963740N301</v>
          </cell>
          <cell r="D867">
            <v>3</v>
          </cell>
          <cell r="E867">
            <v>0</v>
          </cell>
          <cell r="F867">
            <v>513</v>
          </cell>
          <cell r="G867" t="str">
            <v>D/MC0V</v>
          </cell>
          <cell r="H867">
            <v>0</v>
          </cell>
          <cell r="I867">
            <v>100</v>
          </cell>
        </row>
        <row r="868">
          <cell r="C868" t="str">
            <v>963740N302</v>
          </cell>
          <cell r="D868">
            <v>3</v>
          </cell>
          <cell r="E868">
            <v>0</v>
          </cell>
          <cell r="F868">
            <v>513</v>
          </cell>
          <cell r="G868" t="str">
            <v>D/MC0V</v>
          </cell>
          <cell r="H868">
            <v>0</v>
          </cell>
          <cell r="I868">
            <v>300</v>
          </cell>
        </row>
        <row r="869">
          <cell r="C869" t="str">
            <v>963740N310</v>
          </cell>
          <cell r="D869">
            <v>3</v>
          </cell>
          <cell r="E869">
            <v>0</v>
          </cell>
          <cell r="F869">
            <v>513</v>
          </cell>
          <cell r="G869" t="str">
            <v>D/MC0V</v>
          </cell>
          <cell r="H869">
            <v>0</v>
          </cell>
          <cell r="I869">
            <v>20</v>
          </cell>
        </row>
        <row r="870">
          <cell r="C870" t="str">
            <v>963742J114</v>
          </cell>
          <cell r="D870">
            <v>3</v>
          </cell>
          <cell r="E870">
            <v>0</v>
          </cell>
          <cell r="F870">
            <v>513</v>
          </cell>
          <cell r="G870" t="str">
            <v>D/MC0V</v>
          </cell>
          <cell r="H870">
            <v>0</v>
          </cell>
          <cell r="I870">
            <v>20</v>
          </cell>
        </row>
        <row r="871">
          <cell r="C871" t="str">
            <v>963742J117</v>
          </cell>
          <cell r="D871">
            <v>3</v>
          </cell>
          <cell r="E871">
            <v>0</v>
          </cell>
          <cell r="F871">
            <v>513</v>
          </cell>
          <cell r="G871" t="str">
            <v>D/MC0V</v>
          </cell>
          <cell r="H871">
            <v>0</v>
          </cell>
          <cell r="I871">
            <v>1100</v>
          </cell>
        </row>
        <row r="872">
          <cell r="C872" t="str">
            <v>963748E001</v>
          </cell>
          <cell r="D872">
            <v>3</v>
          </cell>
          <cell r="E872">
            <v>0</v>
          </cell>
          <cell r="F872">
            <v>513</v>
          </cell>
          <cell r="G872" t="str">
            <v>D/MC0V</v>
          </cell>
          <cell r="H872">
            <v>0</v>
          </cell>
          <cell r="I872">
            <v>20</v>
          </cell>
        </row>
        <row r="873">
          <cell r="C873" t="str">
            <v>963748E003</v>
          </cell>
          <cell r="D873">
            <v>3</v>
          </cell>
          <cell r="E873">
            <v>0</v>
          </cell>
          <cell r="F873">
            <v>513</v>
          </cell>
          <cell r="G873" t="str">
            <v>D/MC0V</v>
          </cell>
          <cell r="H873">
            <v>0</v>
          </cell>
          <cell r="I873">
            <v>20</v>
          </cell>
        </row>
        <row r="874">
          <cell r="C874" t="str">
            <v>963748E005</v>
          </cell>
          <cell r="D874">
            <v>3</v>
          </cell>
          <cell r="E874">
            <v>0</v>
          </cell>
          <cell r="F874">
            <v>513</v>
          </cell>
          <cell r="G874" t="str">
            <v>D/MC0V</v>
          </cell>
          <cell r="H874">
            <v>0</v>
          </cell>
          <cell r="I874">
            <v>100</v>
          </cell>
        </row>
        <row r="875">
          <cell r="C875" t="str">
            <v>963748E007</v>
          </cell>
          <cell r="D875">
            <v>3</v>
          </cell>
          <cell r="E875">
            <v>0</v>
          </cell>
          <cell r="F875">
            <v>513</v>
          </cell>
          <cell r="G875" t="str">
            <v>D/MC0V</v>
          </cell>
          <cell r="H875">
            <v>0</v>
          </cell>
          <cell r="I875">
            <v>1000</v>
          </cell>
        </row>
        <row r="876">
          <cell r="C876" t="str">
            <v>963748E008</v>
          </cell>
          <cell r="D876">
            <v>3</v>
          </cell>
          <cell r="E876">
            <v>0</v>
          </cell>
          <cell r="F876">
            <v>513</v>
          </cell>
          <cell r="G876" t="str">
            <v>D/MC0V</v>
          </cell>
          <cell r="H876">
            <v>0</v>
          </cell>
          <cell r="I876">
            <v>10</v>
          </cell>
        </row>
        <row r="877">
          <cell r="C877" t="str">
            <v>963748E009</v>
          </cell>
          <cell r="D877">
            <v>3</v>
          </cell>
          <cell r="E877">
            <v>0</v>
          </cell>
          <cell r="F877">
            <v>513</v>
          </cell>
          <cell r="G877" t="str">
            <v>D/MC0V</v>
          </cell>
          <cell r="H877">
            <v>0</v>
          </cell>
          <cell r="I877">
            <v>200</v>
          </cell>
        </row>
        <row r="878">
          <cell r="C878" t="str">
            <v>963748E010</v>
          </cell>
          <cell r="D878">
            <v>2</v>
          </cell>
          <cell r="E878">
            <v>0</v>
          </cell>
          <cell r="F878">
            <v>513</v>
          </cell>
          <cell r="G878" t="str">
            <v>C0VER</v>
          </cell>
          <cell r="H878" t="str">
            <v>G169</v>
          </cell>
          <cell r="I878">
            <v>200</v>
          </cell>
        </row>
        <row r="879">
          <cell r="C879" t="str">
            <v>963748E011</v>
          </cell>
          <cell r="D879">
            <v>2</v>
          </cell>
          <cell r="E879">
            <v>0</v>
          </cell>
          <cell r="F879">
            <v>513</v>
          </cell>
          <cell r="G879" t="str">
            <v>C0VER</v>
          </cell>
          <cell r="H879" t="str">
            <v>G169</v>
          </cell>
          <cell r="I879">
            <v>300</v>
          </cell>
        </row>
        <row r="880">
          <cell r="C880" t="str">
            <v>260104N000</v>
          </cell>
          <cell r="D880">
            <v>1</v>
          </cell>
          <cell r="E880">
            <v>0</v>
          </cell>
          <cell r="F880">
            <v>151</v>
          </cell>
          <cell r="G880" t="str">
            <v>H/L</v>
          </cell>
          <cell r="H880" t="str">
            <v>A190</v>
          </cell>
          <cell r="I880">
            <v>3200</v>
          </cell>
        </row>
        <row r="881">
          <cell r="C881" t="str">
            <v>260104N100</v>
          </cell>
          <cell r="D881">
            <v>1</v>
          </cell>
          <cell r="E881">
            <v>0</v>
          </cell>
          <cell r="F881">
            <v>151</v>
          </cell>
          <cell r="G881" t="str">
            <v>H/L</v>
          </cell>
          <cell r="H881" t="str">
            <v>A400</v>
          </cell>
          <cell r="I881">
            <v>800</v>
          </cell>
        </row>
        <row r="882">
          <cell r="C882" t="str">
            <v>260104N600</v>
          </cell>
          <cell r="D882">
            <v>1</v>
          </cell>
          <cell r="E882">
            <v>0</v>
          </cell>
          <cell r="F882">
            <v>151</v>
          </cell>
          <cell r="G882" t="str">
            <v>H/L</v>
          </cell>
          <cell r="H882" t="str">
            <v>A190</v>
          </cell>
          <cell r="I882">
            <v>300</v>
          </cell>
        </row>
        <row r="883">
          <cell r="C883" t="str">
            <v>26010VR200</v>
          </cell>
          <cell r="D883">
            <v>1</v>
          </cell>
          <cell r="E883">
            <v>0</v>
          </cell>
          <cell r="F883">
            <v>151</v>
          </cell>
          <cell r="G883" t="str">
            <v>H/L</v>
          </cell>
          <cell r="H883" t="str">
            <v>A190</v>
          </cell>
          <cell r="I883">
            <v>20</v>
          </cell>
        </row>
        <row r="884">
          <cell r="C884" t="str">
            <v>260604N000</v>
          </cell>
          <cell r="D884">
            <v>1</v>
          </cell>
          <cell r="E884">
            <v>0</v>
          </cell>
          <cell r="F884">
            <v>151</v>
          </cell>
          <cell r="G884" t="str">
            <v>H/L</v>
          </cell>
          <cell r="H884" t="str">
            <v>A190</v>
          </cell>
          <cell r="I884">
            <v>3200</v>
          </cell>
        </row>
        <row r="885">
          <cell r="C885" t="str">
            <v>260604N100</v>
          </cell>
          <cell r="D885">
            <v>1</v>
          </cell>
          <cell r="E885">
            <v>0</v>
          </cell>
          <cell r="F885">
            <v>151</v>
          </cell>
          <cell r="G885" t="str">
            <v>H/L</v>
          </cell>
          <cell r="H885" t="str">
            <v>A400</v>
          </cell>
          <cell r="I885">
            <v>800</v>
          </cell>
        </row>
        <row r="886">
          <cell r="C886" t="str">
            <v>260604N600</v>
          </cell>
          <cell r="D886">
            <v>1</v>
          </cell>
          <cell r="E886">
            <v>0</v>
          </cell>
          <cell r="F886">
            <v>151</v>
          </cell>
          <cell r="G886" t="str">
            <v>H/L</v>
          </cell>
          <cell r="H886" t="str">
            <v>A190</v>
          </cell>
          <cell r="I886">
            <v>300</v>
          </cell>
        </row>
        <row r="887">
          <cell r="C887" t="str">
            <v>261304N000</v>
          </cell>
          <cell r="D887">
            <v>1</v>
          </cell>
          <cell r="E887">
            <v>0</v>
          </cell>
          <cell r="F887">
            <v>415</v>
          </cell>
          <cell r="G887" t="str">
            <v>FTR/L</v>
          </cell>
          <cell r="H887" t="str">
            <v>B110</v>
          </cell>
          <cell r="I887">
            <v>4000</v>
          </cell>
        </row>
        <row r="888">
          <cell r="C888" t="str">
            <v>261354N000</v>
          </cell>
          <cell r="D888">
            <v>1</v>
          </cell>
          <cell r="E888">
            <v>0</v>
          </cell>
          <cell r="F888">
            <v>415</v>
          </cell>
          <cell r="G888" t="str">
            <v>FTR/L</v>
          </cell>
          <cell r="H888" t="str">
            <v>B110</v>
          </cell>
          <cell r="I888">
            <v>4000</v>
          </cell>
        </row>
        <row r="889">
          <cell r="C889" t="str">
            <v>261504N000</v>
          </cell>
          <cell r="D889">
            <v>2</v>
          </cell>
          <cell r="E889">
            <v>0</v>
          </cell>
          <cell r="F889">
            <v>415</v>
          </cell>
          <cell r="G889" t="str">
            <v>F/L</v>
          </cell>
          <cell r="H889" t="str">
            <v>D300</v>
          </cell>
          <cell r="I889">
            <v>0</v>
          </cell>
        </row>
        <row r="890">
          <cell r="C890" t="str">
            <v>261528E400</v>
          </cell>
          <cell r="D890">
            <v>3</v>
          </cell>
          <cell r="E890">
            <v>0</v>
          </cell>
          <cell r="F890">
            <v>415</v>
          </cell>
          <cell r="G890" t="str">
            <v>R1M</v>
          </cell>
          <cell r="H890">
            <v>0</v>
          </cell>
          <cell r="I890">
            <v>1000</v>
          </cell>
        </row>
        <row r="891">
          <cell r="C891" t="str">
            <v>261544N000</v>
          </cell>
          <cell r="D891">
            <v>3</v>
          </cell>
          <cell r="E891">
            <v>0</v>
          </cell>
          <cell r="F891">
            <v>415</v>
          </cell>
          <cell r="G891" t="str">
            <v>F/L</v>
          </cell>
          <cell r="H891" t="str">
            <v>D309</v>
          </cell>
          <cell r="I891">
            <v>1000</v>
          </cell>
        </row>
        <row r="892">
          <cell r="C892" t="str">
            <v>261554N000</v>
          </cell>
          <cell r="D892">
            <v>3</v>
          </cell>
          <cell r="E892">
            <v>0</v>
          </cell>
          <cell r="F892">
            <v>415</v>
          </cell>
          <cell r="G892" t="str">
            <v>F/L</v>
          </cell>
          <cell r="H892" t="str">
            <v>D300</v>
          </cell>
          <cell r="I892">
            <v>0</v>
          </cell>
        </row>
        <row r="893">
          <cell r="C893" t="str">
            <v>261578E400</v>
          </cell>
          <cell r="D893">
            <v>3</v>
          </cell>
          <cell r="E893">
            <v>0</v>
          </cell>
          <cell r="F893">
            <v>415</v>
          </cell>
          <cell r="G893" t="str">
            <v>R1M</v>
          </cell>
          <cell r="H893">
            <v>0</v>
          </cell>
          <cell r="I893">
            <v>1000</v>
          </cell>
        </row>
        <row r="894">
          <cell r="C894" t="str">
            <v>261594N000</v>
          </cell>
          <cell r="D894">
            <v>2</v>
          </cell>
          <cell r="E894">
            <v>0</v>
          </cell>
          <cell r="F894">
            <v>415</v>
          </cell>
          <cell r="G894" t="str">
            <v>F/L</v>
          </cell>
          <cell r="H894" t="str">
            <v>D309</v>
          </cell>
          <cell r="I894">
            <v>1000</v>
          </cell>
        </row>
        <row r="895">
          <cell r="C895" t="str">
            <v>261601N000</v>
          </cell>
          <cell r="D895">
            <v>3</v>
          </cell>
          <cell r="E895">
            <v>0</v>
          </cell>
          <cell r="F895">
            <v>415</v>
          </cell>
          <cell r="G895" t="str">
            <v>ST/L</v>
          </cell>
          <cell r="H895">
            <v>0</v>
          </cell>
          <cell r="I895">
            <v>600</v>
          </cell>
        </row>
        <row r="896">
          <cell r="C896" t="str">
            <v>261604N000</v>
          </cell>
          <cell r="D896">
            <v>1</v>
          </cell>
          <cell r="E896">
            <v>0</v>
          </cell>
          <cell r="F896">
            <v>415</v>
          </cell>
          <cell r="G896" t="str">
            <v>ST/L</v>
          </cell>
          <cell r="H896" t="str">
            <v>B200</v>
          </cell>
          <cell r="I896">
            <v>8000</v>
          </cell>
        </row>
        <row r="897">
          <cell r="C897" t="str">
            <v>264105V010</v>
          </cell>
          <cell r="D897">
            <v>3</v>
          </cell>
          <cell r="E897">
            <v>0</v>
          </cell>
          <cell r="F897">
            <v>415</v>
          </cell>
          <cell r="G897" t="str">
            <v>R/L</v>
          </cell>
          <cell r="H897">
            <v>0</v>
          </cell>
          <cell r="I897">
            <v>2000</v>
          </cell>
        </row>
        <row r="898">
          <cell r="C898" t="str">
            <v>264304N000</v>
          </cell>
          <cell r="D898">
            <v>1</v>
          </cell>
          <cell r="E898">
            <v>0</v>
          </cell>
          <cell r="F898">
            <v>415</v>
          </cell>
          <cell r="G898" t="str">
            <v>MAP/L</v>
          </cell>
          <cell r="H898" t="str">
            <v>E010</v>
          </cell>
          <cell r="I898">
            <v>2400</v>
          </cell>
        </row>
        <row r="899">
          <cell r="C899" t="str">
            <v>264304N100</v>
          </cell>
          <cell r="D899">
            <v>1</v>
          </cell>
          <cell r="E899">
            <v>0</v>
          </cell>
          <cell r="F899">
            <v>415</v>
          </cell>
          <cell r="G899" t="str">
            <v>MAP/L</v>
          </cell>
          <cell r="H899" t="str">
            <v>E010</v>
          </cell>
          <cell r="I899">
            <v>1600</v>
          </cell>
        </row>
        <row r="900">
          <cell r="C900" t="str">
            <v>26460AD001</v>
          </cell>
          <cell r="D900">
            <v>3</v>
          </cell>
          <cell r="E900">
            <v>0</v>
          </cell>
          <cell r="F900">
            <v>415</v>
          </cell>
          <cell r="G900" t="str">
            <v>PS/L</v>
          </cell>
          <cell r="H900">
            <v>0</v>
          </cell>
          <cell r="I900">
            <v>8000</v>
          </cell>
        </row>
        <row r="901">
          <cell r="C901" t="str">
            <v>264904N000</v>
          </cell>
          <cell r="D901">
            <v>1</v>
          </cell>
          <cell r="E901">
            <v>0</v>
          </cell>
          <cell r="F901">
            <v>415</v>
          </cell>
          <cell r="G901" t="str">
            <v>LUG/L</v>
          </cell>
          <cell r="H901" t="str">
            <v>D100</v>
          </cell>
          <cell r="I901">
            <v>4000</v>
          </cell>
        </row>
        <row r="902">
          <cell r="C902" t="str">
            <v>265404N000</v>
          </cell>
          <cell r="D902">
            <v>1</v>
          </cell>
          <cell r="E902">
            <v>0</v>
          </cell>
          <cell r="F902">
            <v>414</v>
          </cell>
          <cell r="G902" t="str">
            <v>B/L</v>
          </cell>
          <cell r="H902" t="str">
            <v>B040</v>
          </cell>
          <cell r="I902">
            <v>4000</v>
          </cell>
        </row>
        <row r="903">
          <cell r="C903" t="str">
            <v>265504N000</v>
          </cell>
          <cell r="D903">
            <v>1</v>
          </cell>
          <cell r="E903">
            <v>0</v>
          </cell>
          <cell r="F903">
            <v>214</v>
          </cell>
          <cell r="G903" t="str">
            <v>RC/L</v>
          </cell>
          <cell r="H903" t="str">
            <v>B000</v>
          </cell>
          <cell r="I903">
            <v>4000</v>
          </cell>
        </row>
        <row r="904">
          <cell r="C904" t="str">
            <v>265504N600</v>
          </cell>
          <cell r="D904">
            <v>1</v>
          </cell>
          <cell r="E904">
            <v>0</v>
          </cell>
          <cell r="F904">
            <v>214</v>
          </cell>
          <cell r="G904" t="str">
            <v>RC/L</v>
          </cell>
          <cell r="H904" t="str">
            <v>B000</v>
          </cell>
          <cell r="I904">
            <v>300</v>
          </cell>
        </row>
        <row r="905">
          <cell r="C905" t="str">
            <v>265554N000</v>
          </cell>
          <cell r="D905">
            <v>1</v>
          </cell>
          <cell r="E905">
            <v>0</v>
          </cell>
          <cell r="F905">
            <v>214</v>
          </cell>
          <cell r="G905" t="str">
            <v>RC/L</v>
          </cell>
          <cell r="H905" t="str">
            <v>B000</v>
          </cell>
          <cell r="I905">
            <v>4000</v>
          </cell>
        </row>
        <row r="906">
          <cell r="C906" t="str">
            <v>265554N600</v>
          </cell>
          <cell r="D906">
            <v>1</v>
          </cell>
          <cell r="E906">
            <v>0</v>
          </cell>
          <cell r="F906">
            <v>214</v>
          </cell>
          <cell r="G906" t="str">
            <v>RC/L</v>
          </cell>
          <cell r="H906" t="str">
            <v>B000</v>
          </cell>
          <cell r="I906">
            <v>300</v>
          </cell>
        </row>
        <row r="907">
          <cell r="C907" t="str">
            <v>265604N000</v>
          </cell>
          <cell r="D907">
            <v>1</v>
          </cell>
          <cell r="E907">
            <v>0</v>
          </cell>
          <cell r="F907">
            <v>415</v>
          </cell>
          <cell r="G907" t="str">
            <v>R/R</v>
          </cell>
          <cell r="H907" t="str">
            <v>C000</v>
          </cell>
          <cell r="I907">
            <v>4000</v>
          </cell>
        </row>
        <row r="908">
          <cell r="C908" t="str">
            <v>265654N000</v>
          </cell>
          <cell r="D908">
            <v>1</v>
          </cell>
          <cell r="E908">
            <v>0</v>
          </cell>
          <cell r="F908">
            <v>415</v>
          </cell>
          <cell r="G908" t="str">
            <v>R/R</v>
          </cell>
          <cell r="H908" t="str">
            <v>C000</v>
          </cell>
          <cell r="I908">
            <v>4000</v>
          </cell>
        </row>
        <row r="909">
          <cell r="C909" t="str">
            <v>265904N000</v>
          </cell>
          <cell r="D909">
            <v>1</v>
          </cell>
          <cell r="E909">
            <v>0</v>
          </cell>
          <cell r="F909">
            <v>414</v>
          </cell>
          <cell r="G909" t="str">
            <v>HMS/L</v>
          </cell>
          <cell r="H909" t="str">
            <v>B050</v>
          </cell>
          <cell r="I909">
            <v>4000</v>
          </cell>
        </row>
        <row r="910">
          <cell r="C910" t="str">
            <v>265904N100</v>
          </cell>
          <cell r="D910">
            <v>1</v>
          </cell>
          <cell r="E910">
            <v>0</v>
          </cell>
          <cell r="F910">
            <v>414</v>
          </cell>
          <cell r="G910" t="str">
            <v>HMS/L</v>
          </cell>
          <cell r="H910" t="str">
            <v>B050</v>
          </cell>
          <cell r="I910">
            <v>2600</v>
          </cell>
        </row>
        <row r="911">
          <cell r="C911" t="str">
            <v>265984N000</v>
          </cell>
          <cell r="D911">
            <v>1</v>
          </cell>
          <cell r="E911">
            <v>0</v>
          </cell>
          <cell r="F911">
            <v>414</v>
          </cell>
          <cell r="G911" t="str">
            <v>C0VER</v>
          </cell>
          <cell r="H911" t="str">
            <v>B059</v>
          </cell>
          <cell r="I911">
            <v>4000</v>
          </cell>
        </row>
        <row r="912">
          <cell r="C912" t="str">
            <v>963014N000</v>
          </cell>
          <cell r="D912">
            <v>1</v>
          </cell>
          <cell r="E912">
            <v>0</v>
          </cell>
          <cell r="F912">
            <v>513</v>
          </cell>
          <cell r="G912" t="str">
            <v>D/M</v>
          </cell>
          <cell r="H912" t="str">
            <v>G140</v>
          </cell>
          <cell r="I912">
            <v>80</v>
          </cell>
        </row>
        <row r="913">
          <cell r="C913" t="str">
            <v>963014N060</v>
          </cell>
          <cell r="D913">
            <v>1</v>
          </cell>
          <cell r="E913">
            <v>0</v>
          </cell>
          <cell r="F913">
            <v>513</v>
          </cell>
          <cell r="G913" t="str">
            <v>D/M</v>
          </cell>
          <cell r="H913" t="str">
            <v>G140</v>
          </cell>
          <cell r="I913">
            <v>20</v>
          </cell>
        </row>
        <row r="914">
          <cell r="C914" t="str">
            <v>963014N100</v>
          </cell>
          <cell r="D914">
            <v>1</v>
          </cell>
          <cell r="E914">
            <v>0</v>
          </cell>
          <cell r="F914">
            <v>513</v>
          </cell>
          <cell r="G914" t="str">
            <v>D/M</v>
          </cell>
          <cell r="H914" t="str">
            <v>G150</v>
          </cell>
          <cell r="I914">
            <v>1500</v>
          </cell>
        </row>
        <row r="915">
          <cell r="C915" t="str">
            <v>963014N110</v>
          </cell>
          <cell r="D915">
            <v>1</v>
          </cell>
          <cell r="E915">
            <v>0</v>
          </cell>
          <cell r="F915">
            <v>513</v>
          </cell>
          <cell r="G915" t="str">
            <v>D/M</v>
          </cell>
          <cell r="H915" t="str">
            <v>G150</v>
          </cell>
          <cell r="I915">
            <v>50</v>
          </cell>
        </row>
        <row r="916">
          <cell r="C916" t="str">
            <v>963014N111</v>
          </cell>
          <cell r="D916">
            <v>1</v>
          </cell>
          <cell r="E916">
            <v>0</v>
          </cell>
          <cell r="F916">
            <v>513</v>
          </cell>
          <cell r="G916" t="str">
            <v>D/M</v>
          </cell>
          <cell r="H916" t="str">
            <v>G150</v>
          </cell>
          <cell r="I916">
            <v>40</v>
          </cell>
        </row>
        <row r="917">
          <cell r="C917" t="str">
            <v>963014N112</v>
          </cell>
          <cell r="D917">
            <v>1</v>
          </cell>
          <cell r="E917">
            <v>0</v>
          </cell>
          <cell r="F917">
            <v>513</v>
          </cell>
          <cell r="G917" t="str">
            <v>D/M</v>
          </cell>
          <cell r="H917" t="str">
            <v>G150</v>
          </cell>
          <cell r="I917">
            <v>40</v>
          </cell>
        </row>
        <row r="918">
          <cell r="C918" t="str">
            <v>963014N113</v>
          </cell>
          <cell r="D918">
            <v>1</v>
          </cell>
          <cell r="E918">
            <v>0</v>
          </cell>
          <cell r="F918">
            <v>513</v>
          </cell>
          <cell r="G918" t="str">
            <v>D/M</v>
          </cell>
          <cell r="H918" t="str">
            <v>G150</v>
          </cell>
          <cell r="I918">
            <v>40</v>
          </cell>
        </row>
        <row r="919">
          <cell r="C919" t="str">
            <v>963014N114</v>
          </cell>
          <cell r="D919">
            <v>1</v>
          </cell>
          <cell r="E919">
            <v>0</v>
          </cell>
          <cell r="F919">
            <v>513</v>
          </cell>
          <cell r="G919" t="str">
            <v>D/M</v>
          </cell>
          <cell r="H919" t="str">
            <v>G150</v>
          </cell>
          <cell r="I919">
            <v>40</v>
          </cell>
        </row>
        <row r="920">
          <cell r="C920" t="str">
            <v>963014N115</v>
          </cell>
          <cell r="D920">
            <v>1</v>
          </cell>
          <cell r="E920">
            <v>0</v>
          </cell>
          <cell r="F920">
            <v>513</v>
          </cell>
          <cell r="G920" t="str">
            <v>D/M</v>
          </cell>
          <cell r="H920" t="str">
            <v>G150</v>
          </cell>
          <cell r="I920">
            <v>40</v>
          </cell>
        </row>
        <row r="921">
          <cell r="C921" t="str">
            <v>963014N116</v>
          </cell>
          <cell r="D921">
            <v>1</v>
          </cell>
          <cell r="E921">
            <v>0</v>
          </cell>
          <cell r="F921">
            <v>513</v>
          </cell>
          <cell r="G921" t="str">
            <v>D/M</v>
          </cell>
          <cell r="H921" t="str">
            <v>G150</v>
          </cell>
          <cell r="I921">
            <v>40</v>
          </cell>
        </row>
        <row r="922">
          <cell r="C922" t="str">
            <v>963014N160</v>
          </cell>
          <cell r="D922">
            <v>1</v>
          </cell>
          <cell r="E922">
            <v>0</v>
          </cell>
          <cell r="F922">
            <v>513</v>
          </cell>
          <cell r="G922" t="str">
            <v>D/M</v>
          </cell>
          <cell r="H922" t="str">
            <v>G220</v>
          </cell>
          <cell r="I922">
            <v>500</v>
          </cell>
        </row>
        <row r="923">
          <cell r="C923" t="str">
            <v>963014N511</v>
          </cell>
          <cell r="D923">
            <v>1</v>
          </cell>
          <cell r="E923">
            <v>0</v>
          </cell>
          <cell r="F923">
            <v>513</v>
          </cell>
          <cell r="G923" t="str">
            <v>D/M</v>
          </cell>
          <cell r="H923" t="str">
            <v>G160</v>
          </cell>
          <cell r="I923">
            <v>10</v>
          </cell>
        </row>
        <row r="924">
          <cell r="C924" t="str">
            <v>963014N512</v>
          </cell>
          <cell r="D924">
            <v>1</v>
          </cell>
          <cell r="E924">
            <v>0</v>
          </cell>
          <cell r="F924">
            <v>513</v>
          </cell>
          <cell r="G924" t="str">
            <v>D/M</v>
          </cell>
          <cell r="H924" t="str">
            <v>G160</v>
          </cell>
          <cell r="I924">
            <v>10</v>
          </cell>
        </row>
        <row r="925">
          <cell r="C925" t="str">
            <v>963014N513</v>
          </cell>
          <cell r="D925">
            <v>1</v>
          </cell>
          <cell r="E925">
            <v>0</v>
          </cell>
          <cell r="F925">
            <v>513</v>
          </cell>
          <cell r="G925" t="str">
            <v>D/M</v>
          </cell>
          <cell r="H925" t="str">
            <v>G160</v>
          </cell>
          <cell r="I925">
            <v>10</v>
          </cell>
        </row>
        <row r="926">
          <cell r="C926" t="str">
            <v>963014N514</v>
          </cell>
          <cell r="D926">
            <v>1</v>
          </cell>
          <cell r="E926">
            <v>0</v>
          </cell>
          <cell r="F926">
            <v>513</v>
          </cell>
          <cell r="G926" t="str">
            <v>D/M</v>
          </cell>
          <cell r="H926" t="str">
            <v>G160</v>
          </cell>
          <cell r="I926">
            <v>10</v>
          </cell>
        </row>
        <row r="927">
          <cell r="C927" t="str">
            <v>963014N515</v>
          </cell>
          <cell r="D927">
            <v>1</v>
          </cell>
          <cell r="E927">
            <v>0</v>
          </cell>
          <cell r="F927">
            <v>513</v>
          </cell>
          <cell r="G927" t="str">
            <v>D/M</v>
          </cell>
          <cell r="H927" t="str">
            <v>G160</v>
          </cell>
          <cell r="I927">
            <v>10</v>
          </cell>
        </row>
        <row r="928">
          <cell r="C928" t="str">
            <v>963014N516</v>
          </cell>
          <cell r="D928">
            <v>1</v>
          </cell>
          <cell r="E928">
            <v>0</v>
          </cell>
          <cell r="F928">
            <v>513</v>
          </cell>
          <cell r="G928" t="str">
            <v>D/M</v>
          </cell>
          <cell r="H928" t="str">
            <v>G160</v>
          </cell>
          <cell r="I928">
            <v>10</v>
          </cell>
        </row>
        <row r="929">
          <cell r="C929" t="str">
            <v>963024N000</v>
          </cell>
          <cell r="D929">
            <v>1</v>
          </cell>
          <cell r="E929">
            <v>0</v>
          </cell>
          <cell r="F929">
            <v>513</v>
          </cell>
          <cell r="G929" t="str">
            <v>D/M</v>
          </cell>
          <cell r="H929" t="str">
            <v>G140</v>
          </cell>
          <cell r="I929">
            <v>80</v>
          </cell>
        </row>
        <row r="930">
          <cell r="C930" t="str">
            <v>963024N060</v>
          </cell>
          <cell r="D930">
            <v>1</v>
          </cell>
          <cell r="E930">
            <v>0</v>
          </cell>
          <cell r="F930">
            <v>513</v>
          </cell>
          <cell r="G930" t="str">
            <v>D/M</v>
          </cell>
          <cell r="H930" t="str">
            <v>G140</v>
          </cell>
          <cell r="I930">
            <v>20</v>
          </cell>
        </row>
        <row r="931">
          <cell r="C931" t="str">
            <v>963024N100</v>
          </cell>
          <cell r="D931">
            <v>1</v>
          </cell>
          <cell r="E931">
            <v>0</v>
          </cell>
          <cell r="F931">
            <v>513</v>
          </cell>
          <cell r="G931" t="str">
            <v>D/M</v>
          </cell>
          <cell r="H931" t="str">
            <v>G150</v>
          </cell>
          <cell r="I931">
            <v>1500</v>
          </cell>
        </row>
        <row r="932">
          <cell r="C932" t="str">
            <v>963024N110</v>
          </cell>
          <cell r="D932">
            <v>1</v>
          </cell>
          <cell r="E932">
            <v>0</v>
          </cell>
          <cell r="F932">
            <v>513</v>
          </cell>
          <cell r="G932" t="str">
            <v>D/M</v>
          </cell>
          <cell r="H932" t="str">
            <v>G150</v>
          </cell>
          <cell r="I932">
            <v>50</v>
          </cell>
        </row>
        <row r="933">
          <cell r="C933" t="str">
            <v>963024N111</v>
          </cell>
          <cell r="D933">
            <v>1</v>
          </cell>
          <cell r="E933">
            <v>0</v>
          </cell>
          <cell r="F933">
            <v>513</v>
          </cell>
          <cell r="G933" t="str">
            <v>D/M</v>
          </cell>
          <cell r="H933" t="str">
            <v>G150</v>
          </cell>
          <cell r="I933">
            <v>40</v>
          </cell>
        </row>
        <row r="934">
          <cell r="C934" t="str">
            <v>963024N112</v>
          </cell>
          <cell r="D934">
            <v>1</v>
          </cell>
          <cell r="E934">
            <v>0</v>
          </cell>
          <cell r="F934">
            <v>513</v>
          </cell>
          <cell r="G934" t="str">
            <v>D/M</v>
          </cell>
          <cell r="H934" t="str">
            <v>G150</v>
          </cell>
          <cell r="I934">
            <v>40</v>
          </cell>
        </row>
        <row r="935">
          <cell r="C935" t="str">
            <v>963024N113</v>
          </cell>
          <cell r="D935">
            <v>1</v>
          </cell>
          <cell r="E935">
            <v>0</v>
          </cell>
          <cell r="F935">
            <v>513</v>
          </cell>
          <cell r="G935" t="str">
            <v>D/M</v>
          </cell>
          <cell r="H935" t="str">
            <v>G150</v>
          </cell>
          <cell r="I935">
            <v>40</v>
          </cell>
        </row>
        <row r="936">
          <cell r="C936" t="str">
            <v>963024N114</v>
          </cell>
          <cell r="D936">
            <v>1</v>
          </cell>
          <cell r="E936">
            <v>0</v>
          </cell>
          <cell r="F936">
            <v>513</v>
          </cell>
          <cell r="G936" t="str">
            <v>D/M</v>
          </cell>
          <cell r="H936" t="str">
            <v>G150</v>
          </cell>
          <cell r="I936">
            <v>40</v>
          </cell>
        </row>
        <row r="937">
          <cell r="C937" t="str">
            <v>963024N115</v>
          </cell>
          <cell r="D937">
            <v>1</v>
          </cell>
          <cell r="E937">
            <v>0</v>
          </cell>
          <cell r="F937">
            <v>513</v>
          </cell>
          <cell r="G937" t="str">
            <v>D/M</v>
          </cell>
          <cell r="H937" t="str">
            <v>G150</v>
          </cell>
          <cell r="I937">
            <v>40</v>
          </cell>
        </row>
        <row r="938">
          <cell r="C938" t="str">
            <v>963024N116</v>
          </cell>
          <cell r="D938">
            <v>1</v>
          </cell>
          <cell r="E938">
            <v>0</v>
          </cell>
          <cell r="F938">
            <v>513</v>
          </cell>
          <cell r="G938" t="str">
            <v>D/M</v>
          </cell>
          <cell r="H938" t="str">
            <v>G150</v>
          </cell>
          <cell r="I938">
            <v>40</v>
          </cell>
        </row>
        <row r="939">
          <cell r="C939" t="str">
            <v>963024N160</v>
          </cell>
          <cell r="D939">
            <v>1</v>
          </cell>
          <cell r="E939">
            <v>0</v>
          </cell>
          <cell r="F939">
            <v>513</v>
          </cell>
          <cell r="G939" t="str">
            <v>D/M</v>
          </cell>
          <cell r="H939" t="str">
            <v>G220</v>
          </cell>
          <cell r="I939">
            <v>500</v>
          </cell>
        </row>
        <row r="940">
          <cell r="C940" t="str">
            <v>963024N511</v>
          </cell>
          <cell r="D940">
            <v>1</v>
          </cell>
          <cell r="E940">
            <v>0</v>
          </cell>
          <cell r="F940">
            <v>513</v>
          </cell>
          <cell r="G940" t="str">
            <v>D/M</v>
          </cell>
          <cell r="H940" t="str">
            <v>G160</v>
          </cell>
          <cell r="I940">
            <v>10</v>
          </cell>
        </row>
        <row r="941">
          <cell r="C941" t="str">
            <v>963024N512</v>
          </cell>
          <cell r="D941">
            <v>1</v>
          </cell>
          <cell r="E941">
            <v>0</v>
          </cell>
          <cell r="F941">
            <v>513</v>
          </cell>
          <cell r="G941" t="str">
            <v>D/M</v>
          </cell>
          <cell r="H941" t="str">
            <v>G160</v>
          </cell>
          <cell r="I941">
            <v>10</v>
          </cell>
        </row>
        <row r="942">
          <cell r="C942" t="str">
            <v>963024N513</v>
          </cell>
          <cell r="D942">
            <v>1</v>
          </cell>
          <cell r="E942">
            <v>0</v>
          </cell>
          <cell r="F942">
            <v>513</v>
          </cell>
          <cell r="G942" t="str">
            <v>D/M</v>
          </cell>
          <cell r="H942" t="str">
            <v>G160</v>
          </cell>
          <cell r="I942">
            <v>10</v>
          </cell>
        </row>
        <row r="943">
          <cell r="C943" t="str">
            <v>963024N514</v>
          </cell>
          <cell r="D943">
            <v>1</v>
          </cell>
          <cell r="E943">
            <v>0</v>
          </cell>
          <cell r="F943">
            <v>513</v>
          </cell>
          <cell r="G943" t="str">
            <v>D/M</v>
          </cell>
          <cell r="H943" t="str">
            <v>G160</v>
          </cell>
          <cell r="I943">
            <v>10</v>
          </cell>
        </row>
        <row r="944">
          <cell r="C944" t="str">
            <v>963024N515</v>
          </cell>
          <cell r="D944">
            <v>1</v>
          </cell>
          <cell r="E944">
            <v>0</v>
          </cell>
          <cell r="F944">
            <v>513</v>
          </cell>
          <cell r="G944" t="str">
            <v>D/M</v>
          </cell>
          <cell r="H944" t="str">
            <v>G160</v>
          </cell>
          <cell r="I944">
            <v>10</v>
          </cell>
        </row>
        <row r="945">
          <cell r="C945" t="str">
            <v>963024N516</v>
          </cell>
          <cell r="D945">
            <v>1</v>
          </cell>
          <cell r="E945">
            <v>0</v>
          </cell>
          <cell r="F945">
            <v>513</v>
          </cell>
          <cell r="G945" t="str">
            <v>D/M</v>
          </cell>
          <cell r="H945" t="str">
            <v>G160</v>
          </cell>
          <cell r="I945">
            <v>10</v>
          </cell>
        </row>
        <row r="946">
          <cell r="C946" t="str">
            <v>963214N000</v>
          </cell>
          <cell r="D946">
            <v>2</v>
          </cell>
          <cell r="E946">
            <v>0</v>
          </cell>
          <cell r="F946">
            <v>563</v>
          </cell>
          <cell r="G946" t="str">
            <v>GP/M</v>
          </cell>
          <cell r="H946" t="str">
            <v>H100</v>
          </cell>
          <cell r="I946">
            <v>3900</v>
          </cell>
        </row>
        <row r="947">
          <cell r="C947" t="str">
            <v>963214N100</v>
          </cell>
          <cell r="D947">
            <v>2</v>
          </cell>
          <cell r="E947">
            <v>0</v>
          </cell>
          <cell r="F947">
            <v>563</v>
          </cell>
          <cell r="G947" t="str">
            <v>I/M</v>
          </cell>
          <cell r="H947" t="str">
            <v>H000</v>
          </cell>
          <cell r="I947">
            <v>100</v>
          </cell>
        </row>
        <row r="948">
          <cell r="C948" t="str">
            <v>9632884M00</v>
          </cell>
          <cell r="D948">
            <v>3</v>
          </cell>
          <cell r="E948">
            <v>0</v>
          </cell>
          <cell r="F948">
            <v>563</v>
          </cell>
          <cell r="G948" t="str">
            <v>RUB</v>
          </cell>
          <cell r="H948">
            <v>0</v>
          </cell>
          <cell r="I948">
            <v>4000</v>
          </cell>
        </row>
        <row r="949">
          <cell r="C949" t="str">
            <v>963293J101</v>
          </cell>
          <cell r="D949">
            <v>3</v>
          </cell>
          <cell r="E949">
            <v>0</v>
          </cell>
          <cell r="F949">
            <v>563</v>
          </cell>
          <cell r="G949" t="str">
            <v>C0VER</v>
          </cell>
          <cell r="H949">
            <v>0</v>
          </cell>
          <cell r="I949">
            <v>4000</v>
          </cell>
        </row>
        <row r="950">
          <cell r="C950" t="str">
            <v>963404N000</v>
          </cell>
          <cell r="D950">
            <v>1</v>
          </cell>
          <cell r="E950">
            <v>0</v>
          </cell>
          <cell r="F950">
            <v>513</v>
          </cell>
          <cell r="G950" t="str">
            <v>RU/M</v>
          </cell>
          <cell r="H950" t="str">
            <v>G020</v>
          </cell>
          <cell r="I950">
            <v>4000</v>
          </cell>
        </row>
        <row r="951">
          <cell r="C951" t="str">
            <v>965364N000</v>
          </cell>
          <cell r="D951">
            <v>1</v>
          </cell>
          <cell r="E951">
            <v>0</v>
          </cell>
          <cell r="F951">
            <v>644</v>
          </cell>
          <cell r="G951" t="str">
            <v>A/T</v>
          </cell>
          <cell r="H951" t="str">
            <v>L010</v>
          </cell>
          <cell r="I951">
            <v>4000</v>
          </cell>
        </row>
        <row r="952">
          <cell r="C952" t="str">
            <v>B04DML</v>
          </cell>
          <cell r="D952">
            <v>1</v>
          </cell>
          <cell r="E952">
            <v>0</v>
          </cell>
          <cell r="F952">
            <v>513</v>
          </cell>
          <cell r="G952" t="str">
            <v>D/M</v>
          </cell>
          <cell r="H952" t="str">
            <v>G160</v>
          </cell>
          <cell r="I952">
            <v>0</v>
          </cell>
        </row>
        <row r="953">
          <cell r="C953" t="str">
            <v>B04DMR</v>
          </cell>
          <cell r="D953">
            <v>1</v>
          </cell>
          <cell r="E953">
            <v>0</v>
          </cell>
          <cell r="F953">
            <v>513</v>
          </cell>
          <cell r="G953" t="str">
            <v>D/M</v>
          </cell>
          <cell r="H953" t="str">
            <v>G160</v>
          </cell>
          <cell r="I953">
            <v>0</v>
          </cell>
        </row>
        <row r="954">
          <cell r="C954" t="str">
            <v>B04HIDHLL</v>
          </cell>
          <cell r="D954">
            <v>1</v>
          </cell>
          <cell r="E954">
            <v>0</v>
          </cell>
          <cell r="F954">
            <v>151</v>
          </cell>
          <cell r="G954" t="str">
            <v>HIDH/L</v>
          </cell>
          <cell r="H954" t="str">
            <v>A400</v>
          </cell>
          <cell r="I954">
            <v>0</v>
          </cell>
        </row>
        <row r="955">
          <cell r="C955" t="str">
            <v>B04HIDHLR</v>
          </cell>
          <cell r="D955">
            <v>1</v>
          </cell>
          <cell r="E955">
            <v>0</v>
          </cell>
          <cell r="F955">
            <v>151</v>
          </cell>
          <cell r="G955" t="str">
            <v>HIDH/L</v>
          </cell>
          <cell r="H955" t="str">
            <v>A400</v>
          </cell>
          <cell r="I955">
            <v>0</v>
          </cell>
        </row>
        <row r="956">
          <cell r="C956" t="str">
            <v>260102Y000</v>
          </cell>
          <cell r="D956">
            <v>1</v>
          </cell>
          <cell r="E956">
            <v>0</v>
          </cell>
          <cell r="F956">
            <v>151</v>
          </cell>
          <cell r="G956" t="str">
            <v>H/L</v>
          </cell>
          <cell r="H956" t="str">
            <v>A190</v>
          </cell>
          <cell r="I956">
            <v>1800</v>
          </cell>
        </row>
        <row r="957">
          <cell r="C957" t="str">
            <v>260102Y010</v>
          </cell>
          <cell r="D957">
            <v>1</v>
          </cell>
          <cell r="E957">
            <v>0</v>
          </cell>
          <cell r="F957">
            <v>151</v>
          </cell>
          <cell r="G957" t="str">
            <v>H/L</v>
          </cell>
          <cell r="H957" t="str">
            <v>A190</v>
          </cell>
          <cell r="I957">
            <v>500</v>
          </cell>
        </row>
        <row r="958">
          <cell r="C958" t="str">
            <v>260102Y900</v>
          </cell>
          <cell r="D958">
            <v>1</v>
          </cell>
          <cell r="E958">
            <v>0</v>
          </cell>
          <cell r="F958">
            <v>151</v>
          </cell>
          <cell r="G958" t="str">
            <v>H/L</v>
          </cell>
          <cell r="H958" t="str">
            <v>A310</v>
          </cell>
          <cell r="I958">
            <v>8300</v>
          </cell>
        </row>
        <row r="959">
          <cell r="C959" t="str">
            <v>260103Y000</v>
          </cell>
          <cell r="D959">
            <v>1</v>
          </cell>
          <cell r="E959">
            <v>0</v>
          </cell>
          <cell r="F959">
            <v>151</v>
          </cell>
          <cell r="G959" t="str">
            <v>H/L</v>
          </cell>
          <cell r="H959" t="str">
            <v>A400</v>
          </cell>
          <cell r="I959">
            <v>1000</v>
          </cell>
        </row>
        <row r="960">
          <cell r="C960" t="str">
            <v>260602Y000</v>
          </cell>
          <cell r="D960">
            <v>1</v>
          </cell>
          <cell r="E960">
            <v>0</v>
          </cell>
          <cell r="F960">
            <v>151</v>
          </cell>
          <cell r="G960" t="str">
            <v>H/L</v>
          </cell>
          <cell r="H960" t="str">
            <v>A190</v>
          </cell>
          <cell r="I960">
            <v>1800</v>
          </cell>
        </row>
        <row r="961">
          <cell r="C961" t="str">
            <v>260602Y010</v>
          </cell>
          <cell r="D961">
            <v>1</v>
          </cell>
          <cell r="E961">
            <v>0</v>
          </cell>
          <cell r="F961">
            <v>151</v>
          </cell>
          <cell r="G961" t="str">
            <v>H/L</v>
          </cell>
          <cell r="H961" t="str">
            <v>A190</v>
          </cell>
          <cell r="I961">
            <v>500</v>
          </cell>
        </row>
        <row r="962">
          <cell r="C962" t="str">
            <v>260602Y900</v>
          </cell>
          <cell r="D962">
            <v>1</v>
          </cell>
          <cell r="E962">
            <v>0</v>
          </cell>
          <cell r="F962">
            <v>151</v>
          </cell>
          <cell r="G962" t="str">
            <v>H/L</v>
          </cell>
          <cell r="H962" t="str">
            <v>A310</v>
          </cell>
          <cell r="I962">
            <v>8300</v>
          </cell>
        </row>
        <row r="963">
          <cell r="C963" t="str">
            <v>260603Y000</v>
          </cell>
          <cell r="D963">
            <v>1</v>
          </cell>
          <cell r="E963">
            <v>0</v>
          </cell>
          <cell r="F963">
            <v>151</v>
          </cell>
          <cell r="G963" t="str">
            <v>H/L</v>
          </cell>
          <cell r="H963" t="str">
            <v>A400</v>
          </cell>
          <cell r="I963">
            <v>1000</v>
          </cell>
        </row>
        <row r="964">
          <cell r="C964" t="str">
            <v>260812Y900</v>
          </cell>
          <cell r="D964">
            <v>1</v>
          </cell>
          <cell r="E964">
            <v>0</v>
          </cell>
          <cell r="F964">
            <v>151</v>
          </cell>
          <cell r="G964" t="str">
            <v>H/LADP</v>
          </cell>
          <cell r="H964" t="str">
            <v>A319</v>
          </cell>
          <cell r="I964">
            <v>16600</v>
          </cell>
        </row>
        <row r="965">
          <cell r="C965" t="str">
            <v>261802Y900</v>
          </cell>
          <cell r="D965">
            <v>1</v>
          </cell>
          <cell r="E965">
            <v>0</v>
          </cell>
          <cell r="F965">
            <v>415</v>
          </cell>
          <cell r="G965" t="str">
            <v>FSM/L</v>
          </cell>
          <cell r="H965" t="str">
            <v>B210</v>
          </cell>
          <cell r="I965">
            <v>8300</v>
          </cell>
        </row>
        <row r="966">
          <cell r="C966" t="str">
            <v>261852Y900</v>
          </cell>
          <cell r="D966">
            <v>1</v>
          </cell>
          <cell r="E966">
            <v>0</v>
          </cell>
          <cell r="F966">
            <v>415</v>
          </cell>
          <cell r="G966" t="str">
            <v>FSM/L</v>
          </cell>
          <cell r="H966" t="str">
            <v>B210</v>
          </cell>
          <cell r="I966">
            <v>8300</v>
          </cell>
        </row>
        <row r="967">
          <cell r="C967" t="str">
            <v>261902Y900</v>
          </cell>
          <cell r="D967">
            <v>1</v>
          </cell>
          <cell r="E967">
            <v>0</v>
          </cell>
          <cell r="F967">
            <v>414</v>
          </cell>
          <cell r="G967" t="str">
            <v>RSM/L</v>
          </cell>
          <cell r="H967" t="str">
            <v>B210</v>
          </cell>
          <cell r="I967">
            <v>8300</v>
          </cell>
        </row>
        <row r="968">
          <cell r="C968" t="str">
            <v>261902Y901</v>
          </cell>
          <cell r="D968">
            <v>2</v>
          </cell>
          <cell r="E968">
            <v>0</v>
          </cell>
          <cell r="F968">
            <v>414</v>
          </cell>
          <cell r="G968" t="str">
            <v>RSM/L</v>
          </cell>
          <cell r="H968" t="str">
            <v>B210</v>
          </cell>
          <cell r="I968">
            <v>1100</v>
          </cell>
        </row>
        <row r="969">
          <cell r="C969" t="str">
            <v>261902Y902</v>
          </cell>
          <cell r="D969">
            <v>2</v>
          </cell>
          <cell r="E969">
            <v>0</v>
          </cell>
          <cell r="F969">
            <v>414</v>
          </cell>
          <cell r="G969" t="str">
            <v>RSM/L</v>
          </cell>
          <cell r="H969" t="str">
            <v>B210</v>
          </cell>
          <cell r="I969">
            <v>1100</v>
          </cell>
        </row>
        <row r="970">
          <cell r="C970" t="str">
            <v>261902Y903</v>
          </cell>
          <cell r="D970">
            <v>2</v>
          </cell>
          <cell r="E970">
            <v>0</v>
          </cell>
          <cell r="F970">
            <v>414</v>
          </cell>
          <cell r="G970" t="str">
            <v>RSM/L</v>
          </cell>
          <cell r="H970" t="str">
            <v>B210</v>
          </cell>
          <cell r="I970">
            <v>1000</v>
          </cell>
        </row>
        <row r="971">
          <cell r="C971" t="str">
            <v>261902Y904</v>
          </cell>
          <cell r="D971">
            <v>2</v>
          </cell>
          <cell r="E971">
            <v>0</v>
          </cell>
          <cell r="F971">
            <v>414</v>
          </cell>
          <cell r="G971" t="str">
            <v>RSM/L</v>
          </cell>
          <cell r="H971" t="str">
            <v>B210</v>
          </cell>
          <cell r="I971">
            <v>1000</v>
          </cell>
        </row>
        <row r="972">
          <cell r="C972" t="str">
            <v>261902Y905</v>
          </cell>
          <cell r="D972">
            <v>2</v>
          </cell>
          <cell r="E972">
            <v>0</v>
          </cell>
          <cell r="F972">
            <v>414</v>
          </cell>
          <cell r="G972" t="str">
            <v>RSM/L</v>
          </cell>
          <cell r="H972" t="str">
            <v>B210</v>
          </cell>
          <cell r="I972">
            <v>1000</v>
          </cell>
        </row>
        <row r="973">
          <cell r="C973" t="str">
            <v>261902Y906</v>
          </cell>
          <cell r="D973">
            <v>2</v>
          </cell>
          <cell r="E973">
            <v>0</v>
          </cell>
          <cell r="F973">
            <v>414</v>
          </cell>
          <cell r="G973" t="str">
            <v>RSM/L</v>
          </cell>
          <cell r="H973" t="str">
            <v>B210</v>
          </cell>
          <cell r="I973">
            <v>1000</v>
          </cell>
        </row>
        <row r="974">
          <cell r="C974" t="str">
            <v>261902Y907</v>
          </cell>
          <cell r="D974">
            <v>2</v>
          </cell>
          <cell r="E974">
            <v>0</v>
          </cell>
          <cell r="F974">
            <v>414</v>
          </cell>
          <cell r="G974" t="str">
            <v>RSM/L</v>
          </cell>
          <cell r="H974" t="str">
            <v>B210</v>
          </cell>
          <cell r="I974">
            <v>1000</v>
          </cell>
        </row>
        <row r="975">
          <cell r="C975" t="str">
            <v>261942Y900</v>
          </cell>
          <cell r="D975">
            <v>3</v>
          </cell>
          <cell r="E975">
            <v>0</v>
          </cell>
          <cell r="F975">
            <v>414</v>
          </cell>
          <cell r="G975" t="str">
            <v>B0DY</v>
          </cell>
          <cell r="H975" t="str">
            <v>B219</v>
          </cell>
          <cell r="I975">
            <v>8300</v>
          </cell>
        </row>
        <row r="976">
          <cell r="C976" t="str">
            <v>261952Y900</v>
          </cell>
          <cell r="D976">
            <v>1</v>
          </cell>
          <cell r="E976">
            <v>0</v>
          </cell>
          <cell r="F976">
            <v>414</v>
          </cell>
          <cell r="G976" t="str">
            <v>RSM/L</v>
          </cell>
          <cell r="H976" t="str">
            <v>B210</v>
          </cell>
          <cell r="I976">
            <v>8300</v>
          </cell>
        </row>
        <row r="977">
          <cell r="C977" t="str">
            <v>261952Y901</v>
          </cell>
          <cell r="D977">
            <v>2</v>
          </cell>
          <cell r="E977">
            <v>0</v>
          </cell>
          <cell r="F977">
            <v>414</v>
          </cell>
          <cell r="G977" t="str">
            <v>RSM/L</v>
          </cell>
          <cell r="H977" t="str">
            <v>B210</v>
          </cell>
          <cell r="I977">
            <v>1100</v>
          </cell>
        </row>
        <row r="978">
          <cell r="C978" t="str">
            <v>261952Y902</v>
          </cell>
          <cell r="D978">
            <v>2</v>
          </cell>
          <cell r="E978">
            <v>0</v>
          </cell>
          <cell r="F978">
            <v>414</v>
          </cell>
          <cell r="G978" t="str">
            <v>RSM/L</v>
          </cell>
          <cell r="H978" t="str">
            <v>B210</v>
          </cell>
          <cell r="I978">
            <v>1100</v>
          </cell>
        </row>
        <row r="979">
          <cell r="C979" t="str">
            <v>261952Y903</v>
          </cell>
          <cell r="D979">
            <v>2</v>
          </cell>
          <cell r="E979">
            <v>0</v>
          </cell>
          <cell r="F979">
            <v>414</v>
          </cell>
          <cell r="G979" t="str">
            <v>RSM/L</v>
          </cell>
          <cell r="H979" t="str">
            <v>B210</v>
          </cell>
          <cell r="I979">
            <v>1000</v>
          </cell>
        </row>
        <row r="980">
          <cell r="C980" t="str">
            <v>261952Y904</v>
          </cell>
          <cell r="D980">
            <v>2</v>
          </cell>
          <cell r="E980">
            <v>0</v>
          </cell>
          <cell r="F980">
            <v>414</v>
          </cell>
          <cell r="G980" t="str">
            <v>RSM/L</v>
          </cell>
          <cell r="H980" t="str">
            <v>B210</v>
          </cell>
          <cell r="I980">
            <v>1000</v>
          </cell>
        </row>
        <row r="981">
          <cell r="C981" t="str">
            <v>261952Y905</v>
          </cell>
          <cell r="D981">
            <v>2</v>
          </cell>
          <cell r="E981">
            <v>0</v>
          </cell>
          <cell r="F981">
            <v>414</v>
          </cell>
          <cell r="G981" t="str">
            <v>RSM/L</v>
          </cell>
          <cell r="H981" t="str">
            <v>B210</v>
          </cell>
          <cell r="I981">
            <v>1000</v>
          </cell>
        </row>
        <row r="982">
          <cell r="C982" t="str">
            <v>261952Y906</v>
          </cell>
          <cell r="D982">
            <v>2</v>
          </cell>
          <cell r="E982">
            <v>0</v>
          </cell>
          <cell r="F982">
            <v>414</v>
          </cell>
          <cell r="G982" t="str">
            <v>RSM/L</v>
          </cell>
          <cell r="H982" t="str">
            <v>B210</v>
          </cell>
          <cell r="I982">
            <v>1000</v>
          </cell>
        </row>
        <row r="983">
          <cell r="C983" t="str">
            <v>261952Y907</v>
          </cell>
          <cell r="D983">
            <v>2</v>
          </cell>
          <cell r="E983">
            <v>0</v>
          </cell>
          <cell r="F983">
            <v>414</v>
          </cell>
          <cell r="G983" t="str">
            <v>RSM/L</v>
          </cell>
          <cell r="H983" t="str">
            <v>B210</v>
          </cell>
          <cell r="I983">
            <v>1000</v>
          </cell>
        </row>
        <row r="984">
          <cell r="C984" t="str">
            <v>261992Y900</v>
          </cell>
          <cell r="D984">
            <v>3</v>
          </cell>
          <cell r="E984">
            <v>0</v>
          </cell>
          <cell r="F984">
            <v>414</v>
          </cell>
          <cell r="G984" t="str">
            <v>B0DY</v>
          </cell>
          <cell r="H984" t="str">
            <v>B219</v>
          </cell>
          <cell r="I984">
            <v>8300</v>
          </cell>
        </row>
        <row r="985">
          <cell r="C985" t="str">
            <v>261992Y990</v>
          </cell>
          <cell r="D985">
            <v>2</v>
          </cell>
          <cell r="E985">
            <v>0</v>
          </cell>
          <cell r="F985">
            <v>414</v>
          </cell>
          <cell r="G985" t="str">
            <v>B0DY</v>
          </cell>
          <cell r="H985" t="str">
            <v>B219</v>
          </cell>
          <cell r="I985">
            <v>0</v>
          </cell>
        </row>
        <row r="986">
          <cell r="C986" t="str">
            <v>264102Y000</v>
          </cell>
          <cell r="D986">
            <v>3</v>
          </cell>
          <cell r="E986">
            <v>0</v>
          </cell>
          <cell r="F986">
            <v>415</v>
          </cell>
          <cell r="G986" t="str">
            <v>R/L</v>
          </cell>
        </row>
        <row r="987">
          <cell r="C987" t="str">
            <v>264203Y000</v>
          </cell>
          <cell r="D987">
            <v>1</v>
          </cell>
          <cell r="E987">
            <v>0</v>
          </cell>
          <cell r="F987">
            <v>415</v>
          </cell>
          <cell r="G987" t="str">
            <v>STEP/L</v>
          </cell>
          <cell r="H987" t="str">
            <v>E000</v>
          </cell>
          <cell r="I987">
            <v>26750</v>
          </cell>
        </row>
        <row r="988">
          <cell r="C988" t="str">
            <v>264302Y000</v>
          </cell>
          <cell r="D988">
            <v>3</v>
          </cell>
          <cell r="E988">
            <v>0</v>
          </cell>
          <cell r="F988">
            <v>415</v>
          </cell>
          <cell r="G988" t="str">
            <v>MAP/L</v>
          </cell>
        </row>
        <row r="989">
          <cell r="C989" t="str">
            <v>264302Y010</v>
          </cell>
          <cell r="D989">
            <v>3</v>
          </cell>
          <cell r="E989">
            <v>0</v>
          </cell>
          <cell r="F989">
            <v>415</v>
          </cell>
          <cell r="G989" t="str">
            <v>MAP/L</v>
          </cell>
        </row>
        <row r="990">
          <cell r="C990" t="str">
            <v>264303Y000</v>
          </cell>
          <cell r="D990">
            <v>1</v>
          </cell>
          <cell r="E990">
            <v>0</v>
          </cell>
          <cell r="F990">
            <v>415</v>
          </cell>
          <cell r="G990" t="str">
            <v>MAP/L</v>
          </cell>
        </row>
        <row r="991">
          <cell r="C991" t="str">
            <v>264303Y010</v>
          </cell>
          <cell r="D991">
            <v>1</v>
          </cell>
          <cell r="E991">
            <v>0</v>
          </cell>
          <cell r="F991">
            <v>415</v>
          </cell>
          <cell r="G991" t="str">
            <v>MAP/L</v>
          </cell>
        </row>
        <row r="992">
          <cell r="C992" t="str">
            <v>2647060U00</v>
          </cell>
          <cell r="D992">
            <v>3</v>
          </cell>
          <cell r="E992">
            <v>0</v>
          </cell>
          <cell r="F992">
            <v>415</v>
          </cell>
          <cell r="G992" t="str">
            <v>TR/L</v>
          </cell>
        </row>
        <row r="993">
          <cell r="C993" t="str">
            <v>265103J100</v>
          </cell>
          <cell r="D993">
            <v>3</v>
          </cell>
          <cell r="E993">
            <v>0</v>
          </cell>
          <cell r="F993">
            <v>415</v>
          </cell>
          <cell r="G993" t="str">
            <v>L/L</v>
          </cell>
          <cell r="H993">
            <v>0</v>
          </cell>
          <cell r="I993">
            <v>8300</v>
          </cell>
        </row>
        <row r="994">
          <cell r="C994" t="str">
            <v>265902Y000</v>
          </cell>
          <cell r="D994">
            <v>3</v>
          </cell>
          <cell r="E994">
            <v>0</v>
          </cell>
          <cell r="F994">
            <v>514</v>
          </cell>
          <cell r="G994" t="str">
            <v>HMS/L</v>
          </cell>
        </row>
        <row r="995">
          <cell r="C995" t="str">
            <v>265902Y200</v>
          </cell>
          <cell r="D995">
            <v>3</v>
          </cell>
          <cell r="E995">
            <v>0</v>
          </cell>
          <cell r="F995">
            <v>514</v>
          </cell>
          <cell r="G995" t="str">
            <v>HMS/L</v>
          </cell>
        </row>
        <row r="996">
          <cell r="C996" t="str">
            <v>265992Y900</v>
          </cell>
          <cell r="D996">
            <v>3</v>
          </cell>
          <cell r="E996">
            <v>0</v>
          </cell>
          <cell r="F996">
            <v>414</v>
          </cell>
          <cell r="G996" t="str">
            <v>BRKT</v>
          </cell>
          <cell r="H996" t="str">
            <v>B219</v>
          </cell>
          <cell r="I996">
            <v>16600</v>
          </cell>
        </row>
        <row r="997">
          <cell r="C997" t="str">
            <v>269142Y900</v>
          </cell>
          <cell r="D997">
            <v>3</v>
          </cell>
          <cell r="E997">
            <v>0</v>
          </cell>
          <cell r="F997">
            <v>414</v>
          </cell>
          <cell r="G997" t="str">
            <v>RSM/B</v>
          </cell>
          <cell r="H997" t="str">
            <v>B219</v>
          </cell>
          <cell r="I997">
            <v>1100</v>
          </cell>
        </row>
        <row r="998">
          <cell r="C998" t="str">
            <v>269142Y901</v>
          </cell>
          <cell r="D998">
            <v>3</v>
          </cell>
          <cell r="E998">
            <v>0</v>
          </cell>
          <cell r="F998">
            <v>414</v>
          </cell>
          <cell r="G998" t="str">
            <v>RSM/B</v>
          </cell>
          <cell r="H998" t="str">
            <v>B219</v>
          </cell>
          <cell r="I998">
            <v>1100</v>
          </cell>
        </row>
        <row r="999">
          <cell r="C999" t="str">
            <v>269142Y902</v>
          </cell>
          <cell r="D999">
            <v>3</v>
          </cell>
          <cell r="E999">
            <v>0</v>
          </cell>
          <cell r="F999">
            <v>414</v>
          </cell>
          <cell r="G999" t="str">
            <v>RSM/B</v>
          </cell>
          <cell r="H999" t="str">
            <v>B210</v>
          </cell>
          <cell r="I999">
            <v>1100</v>
          </cell>
        </row>
        <row r="1000">
          <cell r="C1000" t="str">
            <v>269142Y903</v>
          </cell>
          <cell r="D1000">
            <v>3</v>
          </cell>
          <cell r="E1000">
            <v>0</v>
          </cell>
          <cell r="F1000">
            <v>414</v>
          </cell>
          <cell r="G1000" t="str">
            <v>RSM/B</v>
          </cell>
          <cell r="H1000" t="str">
            <v>B210</v>
          </cell>
          <cell r="I1000">
            <v>1000</v>
          </cell>
        </row>
        <row r="1001">
          <cell r="C1001" t="str">
            <v>269142Y904</v>
          </cell>
          <cell r="D1001">
            <v>3</v>
          </cell>
          <cell r="E1001">
            <v>0</v>
          </cell>
          <cell r="F1001">
            <v>414</v>
          </cell>
          <cell r="G1001" t="str">
            <v>RSM/B</v>
          </cell>
          <cell r="H1001" t="str">
            <v>B210</v>
          </cell>
          <cell r="I1001">
            <v>1000</v>
          </cell>
        </row>
        <row r="1002">
          <cell r="C1002" t="str">
            <v>269142Y905</v>
          </cell>
          <cell r="D1002">
            <v>3</v>
          </cell>
          <cell r="E1002">
            <v>0</v>
          </cell>
          <cell r="F1002">
            <v>414</v>
          </cell>
          <cell r="G1002" t="str">
            <v>RSM/B</v>
          </cell>
          <cell r="H1002" t="str">
            <v>B210</v>
          </cell>
          <cell r="I1002">
            <v>1000</v>
          </cell>
        </row>
        <row r="1003">
          <cell r="C1003" t="str">
            <v>269142Y906</v>
          </cell>
          <cell r="D1003">
            <v>3</v>
          </cell>
          <cell r="E1003">
            <v>0</v>
          </cell>
          <cell r="F1003">
            <v>414</v>
          </cell>
          <cell r="G1003" t="str">
            <v>RSM/B</v>
          </cell>
          <cell r="H1003" t="str">
            <v>B210</v>
          </cell>
          <cell r="I1003">
            <v>1000</v>
          </cell>
        </row>
        <row r="1004">
          <cell r="C1004" t="str">
            <v>269142Y907</v>
          </cell>
          <cell r="D1004">
            <v>3</v>
          </cell>
          <cell r="E1004">
            <v>0</v>
          </cell>
          <cell r="F1004">
            <v>414</v>
          </cell>
          <cell r="G1004" t="str">
            <v>RSM/B</v>
          </cell>
          <cell r="H1004" t="str">
            <v>B210</v>
          </cell>
          <cell r="I1004">
            <v>1000</v>
          </cell>
        </row>
        <row r="1005">
          <cell r="C1005" t="str">
            <v>269142Y990</v>
          </cell>
          <cell r="D1005">
            <v>2</v>
          </cell>
          <cell r="E1005">
            <v>0</v>
          </cell>
          <cell r="F1005">
            <v>414</v>
          </cell>
          <cell r="G1005" t="str">
            <v>RSM/B</v>
          </cell>
          <cell r="H1005" t="str">
            <v>B219</v>
          </cell>
          <cell r="I1005">
            <v>0</v>
          </cell>
        </row>
        <row r="1006">
          <cell r="C1006" t="str">
            <v>269142Y991</v>
          </cell>
          <cell r="D1006">
            <v>2</v>
          </cell>
          <cell r="E1006">
            <v>0</v>
          </cell>
          <cell r="F1006">
            <v>414</v>
          </cell>
          <cell r="G1006" t="str">
            <v>RSM/B</v>
          </cell>
          <cell r="H1006" t="str">
            <v>B219</v>
          </cell>
          <cell r="I1006">
            <v>0</v>
          </cell>
        </row>
        <row r="1007">
          <cell r="C1007" t="str">
            <v>269142Y992</v>
          </cell>
          <cell r="D1007">
            <v>2</v>
          </cell>
          <cell r="E1007">
            <v>0</v>
          </cell>
          <cell r="F1007">
            <v>414</v>
          </cell>
          <cell r="G1007" t="str">
            <v>RSM/B</v>
          </cell>
          <cell r="H1007" t="str">
            <v>B219</v>
          </cell>
          <cell r="I1007">
            <v>0</v>
          </cell>
        </row>
        <row r="1008">
          <cell r="C1008" t="str">
            <v>269142Y993</v>
          </cell>
          <cell r="D1008">
            <v>2</v>
          </cell>
          <cell r="E1008">
            <v>0</v>
          </cell>
          <cell r="F1008">
            <v>414</v>
          </cell>
          <cell r="G1008" t="str">
            <v>RSM/B</v>
          </cell>
          <cell r="H1008" t="str">
            <v>B219</v>
          </cell>
          <cell r="I1008">
            <v>0</v>
          </cell>
        </row>
        <row r="1009">
          <cell r="C1009" t="str">
            <v>269142Y994</v>
          </cell>
          <cell r="D1009">
            <v>2</v>
          </cell>
          <cell r="E1009">
            <v>0</v>
          </cell>
          <cell r="F1009">
            <v>414</v>
          </cell>
          <cell r="G1009" t="str">
            <v>RSM/B</v>
          </cell>
          <cell r="H1009" t="str">
            <v>B219</v>
          </cell>
          <cell r="I1009">
            <v>0</v>
          </cell>
        </row>
        <row r="1010">
          <cell r="C1010" t="str">
            <v>269142Y995</v>
          </cell>
          <cell r="D1010">
            <v>2</v>
          </cell>
          <cell r="E1010">
            <v>0</v>
          </cell>
          <cell r="F1010">
            <v>414</v>
          </cell>
          <cell r="G1010" t="str">
            <v>RSM/B</v>
          </cell>
          <cell r="H1010" t="str">
            <v>B219</v>
          </cell>
          <cell r="I1010">
            <v>0</v>
          </cell>
        </row>
        <row r="1011">
          <cell r="C1011" t="str">
            <v>269142Y996</v>
          </cell>
          <cell r="D1011">
            <v>2</v>
          </cell>
          <cell r="E1011">
            <v>0</v>
          </cell>
          <cell r="F1011">
            <v>414</v>
          </cell>
          <cell r="G1011" t="str">
            <v>RSM/B</v>
          </cell>
          <cell r="H1011" t="str">
            <v>B219</v>
          </cell>
          <cell r="I1011">
            <v>0</v>
          </cell>
        </row>
        <row r="1012">
          <cell r="C1012" t="str">
            <v>269142Y997</v>
          </cell>
          <cell r="D1012">
            <v>2</v>
          </cell>
          <cell r="E1012">
            <v>0</v>
          </cell>
          <cell r="F1012">
            <v>414</v>
          </cell>
          <cell r="G1012" t="str">
            <v>RSM/B</v>
          </cell>
          <cell r="H1012" t="str">
            <v>B219</v>
          </cell>
          <cell r="I1012">
            <v>0</v>
          </cell>
        </row>
        <row r="1013">
          <cell r="C1013" t="str">
            <v>269192Y900</v>
          </cell>
          <cell r="D1013">
            <v>3</v>
          </cell>
          <cell r="E1013">
            <v>0</v>
          </cell>
          <cell r="F1013">
            <v>414</v>
          </cell>
          <cell r="G1013" t="str">
            <v>RSM/B</v>
          </cell>
          <cell r="H1013" t="str">
            <v>B219</v>
          </cell>
          <cell r="I1013">
            <v>1100</v>
          </cell>
        </row>
        <row r="1014">
          <cell r="C1014" t="str">
            <v>269192Y901</v>
          </cell>
          <cell r="D1014">
            <v>3</v>
          </cell>
          <cell r="E1014">
            <v>0</v>
          </cell>
          <cell r="F1014">
            <v>414</v>
          </cell>
          <cell r="G1014" t="str">
            <v>RSM/B</v>
          </cell>
          <cell r="H1014" t="str">
            <v>B210</v>
          </cell>
          <cell r="I1014">
            <v>1100</v>
          </cell>
        </row>
        <row r="1015">
          <cell r="C1015" t="str">
            <v>269192Y902</v>
          </cell>
          <cell r="D1015">
            <v>3</v>
          </cell>
          <cell r="E1015">
            <v>0</v>
          </cell>
          <cell r="F1015">
            <v>414</v>
          </cell>
          <cell r="G1015" t="str">
            <v>RSM/B</v>
          </cell>
          <cell r="H1015" t="str">
            <v>B210</v>
          </cell>
          <cell r="I1015">
            <v>1100</v>
          </cell>
        </row>
        <row r="1016">
          <cell r="C1016" t="str">
            <v>269192Y903</v>
          </cell>
          <cell r="D1016">
            <v>3</v>
          </cell>
          <cell r="E1016">
            <v>0</v>
          </cell>
          <cell r="F1016">
            <v>414</v>
          </cell>
          <cell r="G1016" t="str">
            <v>RSM/B</v>
          </cell>
          <cell r="H1016" t="str">
            <v>B210</v>
          </cell>
          <cell r="I1016">
            <v>1000</v>
          </cell>
        </row>
        <row r="1017">
          <cell r="C1017" t="str">
            <v>269192Y904</v>
          </cell>
          <cell r="D1017">
            <v>3</v>
          </cell>
          <cell r="E1017">
            <v>0</v>
          </cell>
          <cell r="F1017">
            <v>414</v>
          </cell>
          <cell r="G1017" t="str">
            <v>RSM/B</v>
          </cell>
          <cell r="H1017" t="str">
            <v>B210</v>
          </cell>
          <cell r="I1017">
            <v>1000</v>
          </cell>
        </row>
        <row r="1018">
          <cell r="C1018" t="str">
            <v>269192Y905</v>
          </cell>
          <cell r="D1018">
            <v>3</v>
          </cell>
          <cell r="E1018">
            <v>0</v>
          </cell>
          <cell r="F1018">
            <v>414</v>
          </cell>
          <cell r="G1018" t="str">
            <v>RSM/B</v>
          </cell>
          <cell r="H1018" t="str">
            <v>B210</v>
          </cell>
          <cell r="I1018">
            <v>1000</v>
          </cell>
        </row>
        <row r="1019">
          <cell r="C1019" t="str">
            <v>269192Y906</v>
          </cell>
          <cell r="D1019">
            <v>3</v>
          </cell>
          <cell r="E1019">
            <v>0</v>
          </cell>
          <cell r="F1019">
            <v>414</v>
          </cell>
          <cell r="G1019" t="str">
            <v>RSM/B</v>
          </cell>
          <cell r="H1019" t="str">
            <v>B210</v>
          </cell>
          <cell r="I1019">
            <v>1000</v>
          </cell>
        </row>
        <row r="1020">
          <cell r="C1020" t="str">
            <v>269192Y907</v>
          </cell>
          <cell r="D1020">
            <v>3</v>
          </cell>
          <cell r="E1020">
            <v>0</v>
          </cell>
          <cell r="F1020">
            <v>414</v>
          </cell>
          <cell r="G1020" t="str">
            <v>RSM/B</v>
          </cell>
          <cell r="H1020" t="str">
            <v>B210</v>
          </cell>
          <cell r="I1020">
            <v>1000</v>
          </cell>
        </row>
        <row r="1021">
          <cell r="C1021" t="str">
            <v>269192Y990</v>
          </cell>
          <cell r="D1021">
            <v>2</v>
          </cell>
          <cell r="E1021">
            <v>0</v>
          </cell>
          <cell r="F1021">
            <v>414</v>
          </cell>
          <cell r="G1021" t="str">
            <v>RSM/B</v>
          </cell>
          <cell r="H1021" t="str">
            <v>B219</v>
          </cell>
          <cell r="I1021">
            <v>0</v>
          </cell>
        </row>
        <row r="1022">
          <cell r="C1022" t="str">
            <v>269192Y991</v>
          </cell>
          <cell r="D1022">
            <v>2</v>
          </cell>
          <cell r="E1022">
            <v>0</v>
          </cell>
          <cell r="F1022">
            <v>414</v>
          </cell>
          <cell r="G1022" t="str">
            <v>RSM/B</v>
          </cell>
          <cell r="H1022" t="str">
            <v>B219</v>
          </cell>
          <cell r="I1022">
            <v>0</v>
          </cell>
        </row>
        <row r="1023">
          <cell r="C1023" t="str">
            <v>269192Y992</v>
          </cell>
          <cell r="D1023">
            <v>2</v>
          </cell>
          <cell r="E1023">
            <v>0</v>
          </cell>
          <cell r="F1023">
            <v>414</v>
          </cell>
          <cell r="G1023" t="str">
            <v>RSM/B</v>
          </cell>
          <cell r="H1023" t="str">
            <v>B219</v>
          </cell>
          <cell r="I1023">
            <v>0</v>
          </cell>
        </row>
        <row r="1024">
          <cell r="C1024" t="str">
            <v>269192Y993</v>
          </cell>
          <cell r="D1024">
            <v>2</v>
          </cell>
          <cell r="E1024">
            <v>0</v>
          </cell>
          <cell r="F1024">
            <v>414</v>
          </cell>
          <cell r="G1024" t="str">
            <v>RSM/B</v>
          </cell>
          <cell r="H1024" t="str">
            <v>B219</v>
          </cell>
          <cell r="I1024">
            <v>0</v>
          </cell>
        </row>
        <row r="1025">
          <cell r="C1025" t="str">
            <v>269192Y994</v>
          </cell>
          <cell r="D1025">
            <v>2</v>
          </cell>
          <cell r="E1025">
            <v>0</v>
          </cell>
          <cell r="F1025">
            <v>414</v>
          </cell>
          <cell r="G1025" t="str">
            <v>RSM/B</v>
          </cell>
          <cell r="H1025" t="str">
            <v>B219</v>
          </cell>
          <cell r="I1025">
            <v>0</v>
          </cell>
        </row>
        <row r="1026">
          <cell r="C1026" t="str">
            <v>269192Y995</v>
          </cell>
          <cell r="D1026">
            <v>2</v>
          </cell>
          <cell r="E1026">
            <v>0</v>
          </cell>
          <cell r="F1026">
            <v>414</v>
          </cell>
          <cell r="G1026" t="str">
            <v>RSM/B</v>
          </cell>
          <cell r="H1026" t="str">
            <v>B219</v>
          </cell>
          <cell r="I1026">
            <v>0</v>
          </cell>
        </row>
        <row r="1027">
          <cell r="C1027" t="str">
            <v>269192Y996</v>
          </cell>
          <cell r="D1027">
            <v>2</v>
          </cell>
          <cell r="E1027">
            <v>0</v>
          </cell>
          <cell r="F1027">
            <v>414</v>
          </cell>
          <cell r="G1027" t="str">
            <v>RSM/B</v>
          </cell>
          <cell r="H1027" t="str">
            <v>B219</v>
          </cell>
          <cell r="I1027">
            <v>0</v>
          </cell>
        </row>
        <row r="1028">
          <cell r="C1028" t="str">
            <v>269192Y997</v>
          </cell>
          <cell r="D1028">
            <v>2</v>
          </cell>
          <cell r="E1028">
            <v>0</v>
          </cell>
          <cell r="F1028">
            <v>414</v>
          </cell>
          <cell r="G1028" t="str">
            <v>RSM/B</v>
          </cell>
          <cell r="H1028" t="str">
            <v>B219</v>
          </cell>
          <cell r="I1028">
            <v>0</v>
          </cell>
        </row>
        <row r="1029">
          <cell r="C1029" t="str">
            <v>288812Y900</v>
          </cell>
          <cell r="D1029">
            <v>1</v>
          </cell>
          <cell r="E1029">
            <v>0</v>
          </cell>
          <cell r="F1029">
            <v>714</v>
          </cell>
          <cell r="G1029" t="str">
            <v>W/A</v>
          </cell>
        </row>
        <row r="1030">
          <cell r="C1030" t="str">
            <v>288826J000</v>
          </cell>
          <cell r="D1030">
            <v>3</v>
          </cell>
          <cell r="E1030">
            <v>0</v>
          </cell>
          <cell r="F1030">
            <v>714</v>
          </cell>
          <cell r="G1030" t="str">
            <v>COVER</v>
          </cell>
        </row>
        <row r="1031">
          <cell r="C1031" t="str">
            <v>288862Y900</v>
          </cell>
          <cell r="D1031">
            <v>1</v>
          </cell>
          <cell r="E1031">
            <v>0</v>
          </cell>
          <cell r="F1031">
            <v>714</v>
          </cell>
          <cell r="G1031" t="str">
            <v>W/A</v>
          </cell>
        </row>
        <row r="1032">
          <cell r="C1032" t="str">
            <v>288902Y900</v>
          </cell>
          <cell r="D1032">
            <v>1</v>
          </cell>
          <cell r="E1032">
            <v>0</v>
          </cell>
          <cell r="F1032">
            <v>714</v>
          </cell>
          <cell r="G1032" t="str">
            <v>W/B</v>
          </cell>
        </row>
        <row r="1033">
          <cell r="C1033" t="str">
            <v>963212Y000</v>
          </cell>
          <cell r="D1033">
            <v>3</v>
          </cell>
          <cell r="E1033">
            <v>0</v>
          </cell>
          <cell r="F1033">
            <v>563</v>
          </cell>
          <cell r="G1033" t="str">
            <v>I/M</v>
          </cell>
          <cell r="H1033">
            <v>0</v>
          </cell>
          <cell r="I1033">
            <v>0</v>
          </cell>
        </row>
        <row r="1034">
          <cell r="C1034" t="str">
            <v>963212Y001</v>
          </cell>
          <cell r="D1034">
            <v>3</v>
          </cell>
          <cell r="E1034">
            <v>0</v>
          </cell>
          <cell r="F1034">
            <v>563</v>
          </cell>
          <cell r="G1034" t="str">
            <v>I/M</v>
          </cell>
          <cell r="H1034">
            <v>0</v>
          </cell>
          <cell r="I1034">
            <v>4150</v>
          </cell>
        </row>
        <row r="1035">
          <cell r="C1035" t="str">
            <v>963212Y002</v>
          </cell>
          <cell r="D1035">
            <v>3</v>
          </cell>
          <cell r="E1035">
            <v>0</v>
          </cell>
          <cell r="F1035">
            <v>563</v>
          </cell>
          <cell r="G1035" t="str">
            <v>I/M</v>
          </cell>
          <cell r="H1035">
            <v>0</v>
          </cell>
          <cell r="I1035">
            <v>4150</v>
          </cell>
        </row>
        <row r="1036">
          <cell r="C1036" t="str">
            <v>261570N000</v>
          </cell>
          <cell r="D1036">
            <v>3</v>
          </cell>
          <cell r="E1036">
            <v>0</v>
          </cell>
          <cell r="F1036">
            <v>415</v>
          </cell>
          <cell r="G1036" t="str">
            <v>F/L-F1</v>
          </cell>
          <cell r="H1036">
            <v>0</v>
          </cell>
          <cell r="I1036">
            <v>840</v>
          </cell>
        </row>
        <row r="1037">
          <cell r="C1037" t="str">
            <v>261599M400</v>
          </cell>
          <cell r="D1037">
            <v>1</v>
          </cell>
          <cell r="E1037">
            <v>0</v>
          </cell>
          <cell r="F1037">
            <v>415</v>
          </cell>
          <cell r="G1037" t="str">
            <v>F/L</v>
          </cell>
          <cell r="H1037" t="str">
            <v>D300</v>
          </cell>
          <cell r="I1037">
            <v>400</v>
          </cell>
        </row>
        <row r="1038">
          <cell r="C1038" t="str">
            <v>261601N000</v>
          </cell>
          <cell r="D1038">
            <v>3</v>
          </cell>
          <cell r="E1038">
            <v>0</v>
          </cell>
          <cell r="F1038">
            <v>415</v>
          </cell>
          <cell r="G1038" t="str">
            <v>STR/L</v>
          </cell>
          <cell r="H1038">
            <v>0</v>
          </cell>
          <cell r="I1038">
            <v>200</v>
          </cell>
        </row>
        <row r="1039">
          <cell r="C1039" t="str">
            <v>264100M005</v>
          </cell>
          <cell r="D1039">
            <v>3</v>
          </cell>
          <cell r="E1039">
            <v>0</v>
          </cell>
          <cell r="F1039">
            <v>415</v>
          </cell>
          <cell r="G1039" t="str">
            <v>R/L</v>
          </cell>
          <cell r="H1039">
            <v>0</v>
          </cell>
          <cell r="I1039">
            <v>870</v>
          </cell>
        </row>
        <row r="1040">
          <cell r="C1040" t="str">
            <v>2643080F00</v>
          </cell>
          <cell r="D1040">
            <v>3</v>
          </cell>
          <cell r="E1040">
            <v>0</v>
          </cell>
          <cell r="F1040">
            <v>415</v>
          </cell>
          <cell r="G1040" t="str">
            <v>MAP/L</v>
          </cell>
          <cell r="H1040">
            <v>0</v>
          </cell>
          <cell r="I1040">
            <v>870</v>
          </cell>
        </row>
        <row r="1041">
          <cell r="C1041" t="str">
            <v>2647060U00</v>
          </cell>
          <cell r="D1041">
            <v>3</v>
          </cell>
          <cell r="E1041">
            <v>0</v>
          </cell>
          <cell r="F1041">
            <v>415</v>
          </cell>
          <cell r="G1041" t="str">
            <v>TKR/L</v>
          </cell>
          <cell r="H1041">
            <v>0</v>
          </cell>
          <cell r="I1041">
            <v>1710</v>
          </cell>
        </row>
        <row r="1042">
          <cell r="C1042" t="str">
            <v>265100M001</v>
          </cell>
          <cell r="D1042">
            <v>3</v>
          </cell>
          <cell r="E1042">
            <v>0</v>
          </cell>
          <cell r="F1042">
            <v>415</v>
          </cell>
          <cell r="G1042" t="str">
            <v>L/L</v>
          </cell>
          <cell r="H1042">
            <v>0</v>
          </cell>
          <cell r="I1042">
            <v>870</v>
          </cell>
        </row>
        <row r="1043">
          <cell r="C1043" t="str">
            <v>265509M400</v>
          </cell>
          <cell r="D1043">
            <v>1</v>
          </cell>
          <cell r="E1043">
            <v>0</v>
          </cell>
          <cell r="F1043">
            <v>214</v>
          </cell>
          <cell r="G1043" t="str">
            <v>RC/L</v>
          </cell>
          <cell r="H1043" t="str">
            <v>B000</v>
          </cell>
          <cell r="I1043">
            <v>4290</v>
          </cell>
        </row>
        <row r="1044">
          <cell r="C1044" t="str">
            <v>265509M401</v>
          </cell>
          <cell r="D1044">
            <v>1</v>
          </cell>
          <cell r="E1044">
            <v>0</v>
          </cell>
          <cell r="F1044">
            <v>214</v>
          </cell>
          <cell r="G1044" t="str">
            <v>RC/L</v>
          </cell>
          <cell r="H1044" t="str">
            <v>B070</v>
          </cell>
          <cell r="I1044">
            <v>4290</v>
          </cell>
        </row>
        <row r="1045">
          <cell r="C1045" t="str">
            <v>265509M411</v>
          </cell>
          <cell r="D1045">
            <v>1</v>
          </cell>
          <cell r="E1045">
            <v>0</v>
          </cell>
          <cell r="F1045">
            <v>214</v>
          </cell>
          <cell r="G1045" t="str">
            <v>RC/L</v>
          </cell>
          <cell r="H1045" t="str">
            <v>B070</v>
          </cell>
          <cell r="I1045">
            <v>100</v>
          </cell>
        </row>
        <row r="1046">
          <cell r="C1046" t="str">
            <v>265559M400</v>
          </cell>
          <cell r="D1046">
            <v>1</v>
          </cell>
          <cell r="E1046">
            <v>0</v>
          </cell>
          <cell r="F1046">
            <v>214</v>
          </cell>
          <cell r="G1046" t="str">
            <v>RC/L</v>
          </cell>
          <cell r="H1046" t="str">
            <v>B000</v>
          </cell>
          <cell r="I1046">
            <v>4290</v>
          </cell>
        </row>
        <row r="1047">
          <cell r="C1047" t="str">
            <v>265559M401</v>
          </cell>
          <cell r="D1047">
            <v>1</v>
          </cell>
          <cell r="E1047">
            <v>0</v>
          </cell>
          <cell r="F1047">
            <v>214</v>
          </cell>
          <cell r="G1047" t="str">
            <v>RC/L</v>
          </cell>
          <cell r="H1047" t="str">
            <v>B070</v>
          </cell>
          <cell r="I1047">
            <v>4290</v>
          </cell>
        </row>
        <row r="1048">
          <cell r="C1048" t="str">
            <v>265559M411</v>
          </cell>
          <cell r="D1048">
            <v>1</v>
          </cell>
          <cell r="E1048">
            <v>0</v>
          </cell>
          <cell r="F1048">
            <v>214</v>
          </cell>
          <cell r="G1048" t="str">
            <v>RC/L</v>
          </cell>
          <cell r="H1048" t="str">
            <v>B070</v>
          </cell>
          <cell r="I1048">
            <v>100</v>
          </cell>
        </row>
        <row r="1049">
          <cell r="C1049" t="str">
            <v>2888250J00</v>
          </cell>
          <cell r="D1049">
            <v>3</v>
          </cell>
          <cell r="E1049">
            <v>0</v>
          </cell>
          <cell r="F1049">
            <v>714</v>
          </cell>
          <cell r="G1049" t="str">
            <v>C0VER</v>
          </cell>
          <cell r="H1049">
            <v>0</v>
          </cell>
          <cell r="I1049">
            <v>3420</v>
          </cell>
        </row>
        <row r="1050">
          <cell r="C1050" t="str">
            <v>848109M400</v>
          </cell>
          <cell r="D1050">
            <v>1</v>
          </cell>
          <cell r="E1050">
            <v>0</v>
          </cell>
          <cell r="F1050">
            <v>214</v>
          </cell>
          <cell r="G1050" t="str">
            <v>R/F1N</v>
          </cell>
          <cell r="H1050" t="str">
            <v>P010</v>
          </cell>
          <cell r="I1050">
            <v>4290</v>
          </cell>
        </row>
        <row r="1051">
          <cell r="C1051" t="str">
            <v>2616085F00</v>
          </cell>
          <cell r="D1051">
            <v>1</v>
          </cell>
          <cell r="E1051">
            <v>0</v>
          </cell>
          <cell r="F1051">
            <v>414</v>
          </cell>
          <cell r="G1051" t="str">
            <v>STR/L</v>
          </cell>
          <cell r="H1051" t="str">
            <v>B200</v>
          </cell>
          <cell r="I1051">
            <v>4000</v>
          </cell>
        </row>
        <row r="1052">
          <cell r="C1052" t="str">
            <v>2641016Y02</v>
          </cell>
          <cell r="D1052">
            <v>3</v>
          </cell>
          <cell r="E1052">
            <v>0</v>
          </cell>
          <cell r="F1052">
            <v>415</v>
          </cell>
          <cell r="G1052" t="str">
            <v>R/L</v>
          </cell>
          <cell r="H1052">
            <v>0</v>
          </cell>
          <cell r="I1052">
            <v>2000</v>
          </cell>
        </row>
        <row r="1053">
          <cell r="C1053" t="str">
            <v>2643085F00</v>
          </cell>
          <cell r="D1053">
            <v>2</v>
          </cell>
          <cell r="E1053">
            <v>0</v>
          </cell>
          <cell r="F1053">
            <v>415</v>
          </cell>
          <cell r="G1053" t="str">
            <v>MAP/L</v>
          </cell>
          <cell r="H1053" t="str">
            <v>E010</v>
          </cell>
          <cell r="I1053">
            <v>840</v>
          </cell>
        </row>
        <row r="1054">
          <cell r="C1054" t="str">
            <v>2643085F10</v>
          </cell>
          <cell r="D1054">
            <v>2</v>
          </cell>
          <cell r="E1054">
            <v>0</v>
          </cell>
          <cell r="F1054">
            <v>415</v>
          </cell>
          <cell r="G1054" t="str">
            <v>MAP/L</v>
          </cell>
          <cell r="H1054" t="str">
            <v>E010</v>
          </cell>
          <cell r="I1054">
            <v>760</v>
          </cell>
        </row>
        <row r="1055">
          <cell r="C1055" t="str">
            <v>2647060U00</v>
          </cell>
          <cell r="D1055">
            <v>3</v>
          </cell>
          <cell r="E1055">
            <v>0</v>
          </cell>
          <cell r="F1055">
            <v>415</v>
          </cell>
          <cell r="G1055" t="str">
            <v>TKR/L</v>
          </cell>
          <cell r="H1055">
            <v>0</v>
          </cell>
          <cell r="I1055">
            <v>2000</v>
          </cell>
        </row>
        <row r="1056">
          <cell r="C1056" t="str">
            <v>265101L000</v>
          </cell>
          <cell r="D1056">
            <v>3</v>
          </cell>
          <cell r="E1056">
            <v>0</v>
          </cell>
          <cell r="F1056">
            <v>415</v>
          </cell>
          <cell r="G1056" t="str">
            <v>L/L</v>
          </cell>
          <cell r="H1056">
            <v>0</v>
          </cell>
          <cell r="I1056">
            <v>2000</v>
          </cell>
        </row>
        <row r="1057">
          <cell r="C1057" t="str">
            <v>2655085F00</v>
          </cell>
          <cell r="D1057">
            <v>1</v>
          </cell>
          <cell r="E1057">
            <v>0</v>
          </cell>
          <cell r="F1057">
            <v>214</v>
          </cell>
          <cell r="G1057" t="str">
            <v>RC/L</v>
          </cell>
          <cell r="H1057" t="str">
            <v>B000</v>
          </cell>
          <cell r="I1057">
            <v>1860</v>
          </cell>
        </row>
        <row r="1058">
          <cell r="C1058" t="str">
            <v>2655085F10</v>
          </cell>
          <cell r="D1058">
            <v>1</v>
          </cell>
          <cell r="E1058">
            <v>0</v>
          </cell>
          <cell r="F1058">
            <v>214</v>
          </cell>
          <cell r="G1058" t="str">
            <v>RC/L</v>
          </cell>
          <cell r="H1058" t="str">
            <v>B000</v>
          </cell>
          <cell r="I1058">
            <v>140</v>
          </cell>
        </row>
        <row r="1059">
          <cell r="C1059" t="str">
            <v>2655585F00</v>
          </cell>
          <cell r="D1059">
            <v>1</v>
          </cell>
          <cell r="E1059">
            <v>0</v>
          </cell>
          <cell r="F1059">
            <v>214</v>
          </cell>
          <cell r="G1059" t="str">
            <v>RC/L</v>
          </cell>
          <cell r="H1059" t="str">
            <v>B000</v>
          </cell>
          <cell r="I1059">
            <v>1860</v>
          </cell>
        </row>
        <row r="1060">
          <cell r="C1060" t="str">
            <v>2655585F10</v>
          </cell>
          <cell r="D1060">
            <v>1</v>
          </cell>
          <cell r="E1060">
            <v>0</v>
          </cell>
          <cell r="F1060">
            <v>214</v>
          </cell>
          <cell r="G1060" t="str">
            <v>RC/L</v>
          </cell>
          <cell r="H1060" t="str">
            <v>B000</v>
          </cell>
          <cell r="I1060">
            <v>140</v>
          </cell>
        </row>
        <row r="1061">
          <cell r="C1061" t="str">
            <v>2659085F00</v>
          </cell>
          <cell r="D1061">
            <v>1</v>
          </cell>
          <cell r="E1061">
            <v>0</v>
          </cell>
          <cell r="F1061">
            <v>414</v>
          </cell>
          <cell r="G1061" t="str">
            <v>HMS/L</v>
          </cell>
          <cell r="H1061" t="str">
            <v>B050</v>
          </cell>
          <cell r="I1061">
            <v>440</v>
          </cell>
        </row>
        <row r="1062">
          <cell r="C1062" t="str">
            <v>2659085F10</v>
          </cell>
          <cell r="D1062">
            <v>1</v>
          </cell>
          <cell r="E1062">
            <v>0</v>
          </cell>
          <cell r="F1062">
            <v>414</v>
          </cell>
          <cell r="G1062" t="str">
            <v>HMS/L</v>
          </cell>
          <cell r="H1062" t="str">
            <v>B060</v>
          </cell>
          <cell r="I1062">
            <v>1660</v>
          </cell>
        </row>
        <row r="1063">
          <cell r="C1063" t="str">
            <v>9632185F00</v>
          </cell>
          <cell r="D1063">
            <v>3</v>
          </cell>
          <cell r="E1063">
            <v>0</v>
          </cell>
          <cell r="F1063">
            <v>563</v>
          </cell>
          <cell r="G1063" t="str">
            <v>GP/M</v>
          </cell>
          <cell r="H1063" t="str">
            <v>H100</v>
          </cell>
          <cell r="I1063">
            <v>2000</v>
          </cell>
        </row>
        <row r="1064">
          <cell r="C1064" t="str">
            <v>261300A900</v>
          </cell>
          <cell r="D1064">
            <v>1</v>
          </cell>
          <cell r="E1064">
            <v>0</v>
          </cell>
          <cell r="F1064">
            <v>415</v>
          </cell>
          <cell r="G1064" t="str">
            <v>FTR/L</v>
          </cell>
          <cell r="H1064" t="str">
            <v>B110</v>
          </cell>
          <cell r="I1064">
            <v>50</v>
          </cell>
        </row>
        <row r="1065">
          <cell r="C1065" t="str">
            <v>261308E400</v>
          </cell>
          <cell r="D1065">
            <v>3</v>
          </cell>
          <cell r="E1065">
            <v>0</v>
          </cell>
          <cell r="F1065">
            <v>415</v>
          </cell>
          <cell r="G1065" t="str">
            <v>FTR/L</v>
          </cell>
          <cell r="H1065">
            <v>0</v>
          </cell>
          <cell r="I1065">
            <v>50</v>
          </cell>
        </row>
        <row r="1066">
          <cell r="C1066" t="str">
            <v>261350A900</v>
          </cell>
          <cell r="D1066">
            <v>1</v>
          </cell>
          <cell r="E1066">
            <v>0</v>
          </cell>
          <cell r="F1066">
            <v>415</v>
          </cell>
          <cell r="G1066" t="str">
            <v>FTR/L</v>
          </cell>
          <cell r="H1066" t="str">
            <v>B110</v>
          </cell>
          <cell r="I1066">
            <v>50</v>
          </cell>
        </row>
        <row r="1067">
          <cell r="C1067" t="str">
            <v>261358E400</v>
          </cell>
          <cell r="D1067">
            <v>3</v>
          </cell>
          <cell r="E1067">
            <v>0</v>
          </cell>
          <cell r="F1067">
            <v>415</v>
          </cell>
          <cell r="G1067" t="str">
            <v>FTR/L</v>
          </cell>
          <cell r="H1067">
            <v>0</v>
          </cell>
          <cell r="I1067">
            <v>50</v>
          </cell>
        </row>
        <row r="1068">
          <cell r="C1068" t="str">
            <v>2616040Y00</v>
          </cell>
          <cell r="D1068">
            <v>3</v>
          </cell>
          <cell r="E1068">
            <v>0</v>
          </cell>
          <cell r="F1068">
            <v>415</v>
          </cell>
          <cell r="G1068" t="str">
            <v>STR/L</v>
          </cell>
          <cell r="H1068">
            <v>0</v>
          </cell>
          <cell r="I1068">
            <v>4000</v>
          </cell>
        </row>
        <row r="1069">
          <cell r="C1069" t="str">
            <v>264100V000</v>
          </cell>
          <cell r="D1069">
            <v>3</v>
          </cell>
          <cell r="E1069">
            <v>0</v>
          </cell>
          <cell r="F1069">
            <v>415</v>
          </cell>
          <cell r="G1069" t="str">
            <v>R/L</v>
          </cell>
          <cell r="H1069">
            <v>0</v>
          </cell>
          <cell r="I1069">
            <v>4000</v>
          </cell>
        </row>
        <row r="1070">
          <cell r="C1070" t="str">
            <v>264100V200</v>
          </cell>
          <cell r="D1070">
            <v>3</v>
          </cell>
          <cell r="E1070">
            <v>0</v>
          </cell>
          <cell r="F1070">
            <v>415</v>
          </cell>
          <cell r="G1070" t="str">
            <v>R/L</v>
          </cell>
          <cell r="H1070">
            <v>0</v>
          </cell>
          <cell r="I1070">
            <v>100</v>
          </cell>
        </row>
        <row r="1071">
          <cell r="C1071" t="str">
            <v>264300V200</v>
          </cell>
          <cell r="D1071">
            <v>3</v>
          </cell>
          <cell r="E1071">
            <v>0</v>
          </cell>
          <cell r="F1071">
            <v>415</v>
          </cell>
          <cell r="G1071" t="str">
            <v>MAP/L</v>
          </cell>
          <cell r="H1071">
            <v>0</v>
          </cell>
          <cell r="I1071">
            <v>100</v>
          </cell>
        </row>
        <row r="1072">
          <cell r="C1072" t="str">
            <v>264305L301</v>
          </cell>
          <cell r="D1072">
            <v>3</v>
          </cell>
          <cell r="E1072">
            <v>0</v>
          </cell>
          <cell r="F1072">
            <v>415</v>
          </cell>
          <cell r="G1072" t="str">
            <v>MAP/L</v>
          </cell>
          <cell r="H1072">
            <v>0</v>
          </cell>
          <cell r="I1072">
            <v>4000</v>
          </cell>
        </row>
        <row r="1073">
          <cell r="C1073" t="str">
            <v>2651050C00</v>
          </cell>
          <cell r="D1073">
            <v>3</v>
          </cell>
          <cell r="E1073">
            <v>0</v>
          </cell>
          <cell r="F1073">
            <v>415</v>
          </cell>
          <cell r="G1073" t="str">
            <v>L/L</v>
          </cell>
          <cell r="H1073">
            <v>0</v>
          </cell>
          <cell r="I1073">
            <v>4000</v>
          </cell>
        </row>
        <row r="1074">
          <cell r="C1074" t="str">
            <v>265500V701</v>
          </cell>
          <cell r="D1074">
            <v>1</v>
          </cell>
          <cell r="E1074">
            <v>0</v>
          </cell>
          <cell r="F1074">
            <v>214</v>
          </cell>
          <cell r="G1074" t="str">
            <v>RC/L</v>
          </cell>
          <cell r="H1074" t="str">
            <v>B070</v>
          </cell>
          <cell r="I1074">
            <v>2000</v>
          </cell>
        </row>
        <row r="1075">
          <cell r="C1075" t="str">
            <v>265500V711</v>
          </cell>
          <cell r="D1075">
            <v>1</v>
          </cell>
          <cell r="E1075">
            <v>0</v>
          </cell>
          <cell r="F1075">
            <v>214</v>
          </cell>
          <cell r="G1075" t="str">
            <v>RC/L</v>
          </cell>
          <cell r="H1075" t="str">
            <v>B070</v>
          </cell>
          <cell r="I1075">
            <v>2000</v>
          </cell>
        </row>
        <row r="1076">
          <cell r="C1076" t="str">
            <v>265500V720</v>
          </cell>
          <cell r="D1076">
            <v>0</v>
          </cell>
          <cell r="E1076">
            <v>0</v>
          </cell>
          <cell r="F1076">
            <v>214</v>
          </cell>
          <cell r="G1076" t="str">
            <v>RC/L</v>
          </cell>
          <cell r="H1076" t="str">
            <v>B000</v>
          </cell>
          <cell r="I1076">
            <v>2000</v>
          </cell>
        </row>
        <row r="1077">
          <cell r="C1077" t="str">
            <v>265550V701</v>
          </cell>
          <cell r="D1077">
            <v>1</v>
          </cell>
          <cell r="E1077">
            <v>0</v>
          </cell>
          <cell r="F1077">
            <v>214</v>
          </cell>
          <cell r="G1077" t="str">
            <v>RC/L</v>
          </cell>
          <cell r="H1077" t="str">
            <v>B070</v>
          </cell>
          <cell r="I1077">
            <v>2000</v>
          </cell>
        </row>
        <row r="1078">
          <cell r="C1078" t="str">
            <v>265550V711</v>
          </cell>
          <cell r="D1078">
            <v>1</v>
          </cell>
          <cell r="E1078">
            <v>0</v>
          </cell>
          <cell r="F1078">
            <v>214</v>
          </cell>
          <cell r="G1078" t="str">
            <v>RC/L</v>
          </cell>
          <cell r="H1078" t="str">
            <v>B070</v>
          </cell>
          <cell r="I1078">
            <v>2000</v>
          </cell>
        </row>
        <row r="1079">
          <cell r="C1079" t="str">
            <v>265550V720</v>
          </cell>
          <cell r="D1079">
            <v>0</v>
          </cell>
          <cell r="E1079">
            <v>0</v>
          </cell>
          <cell r="F1079">
            <v>214</v>
          </cell>
          <cell r="G1079" t="str">
            <v>RC/L</v>
          </cell>
          <cell r="H1079" t="str">
            <v>B000</v>
          </cell>
          <cell r="I1079">
            <v>2000</v>
          </cell>
        </row>
        <row r="1080">
          <cell r="C1080" t="str">
            <v>265900V700</v>
          </cell>
          <cell r="D1080">
            <v>1</v>
          </cell>
          <cell r="E1080">
            <v>0</v>
          </cell>
          <cell r="F1080">
            <v>411</v>
          </cell>
          <cell r="G1080" t="str">
            <v>HMS/L</v>
          </cell>
          <cell r="H1080" t="str">
            <v>B500</v>
          </cell>
          <cell r="I1080">
            <v>4000</v>
          </cell>
        </row>
        <row r="1081">
          <cell r="C1081" t="str">
            <v>265960V700</v>
          </cell>
          <cell r="D1081">
            <v>1</v>
          </cell>
          <cell r="E1081">
            <v>0</v>
          </cell>
          <cell r="F1081">
            <v>411</v>
          </cell>
          <cell r="G1081" t="str">
            <v>CAP</v>
          </cell>
          <cell r="H1081" t="str">
            <v>B509</v>
          </cell>
          <cell r="I1081">
            <v>8000</v>
          </cell>
        </row>
        <row r="1082">
          <cell r="C1082" t="str">
            <v>265980V700</v>
          </cell>
          <cell r="D1082">
            <v>1</v>
          </cell>
          <cell r="E1082">
            <v>0</v>
          </cell>
          <cell r="F1082">
            <v>411</v>
          </cell>
          <cell r="G1082" t="str">
            <v>C0VER</v>
          </cell>
          <cell r="H1082" t="str">
            <v>B509</v>
          </cell>
          <cell r="I1082">
            <v>4000</v>
          </cell>
        </row>
        <row r="1083">
          <cell r="C1083" t="str">
            <v>623100V700</v>
          </cell>
          <cell r="D1083">
            <v>1</v>
          </cell>
          <cell r="E1083">
            <v>0</v>
          </cell>
          <cell r="F1083">
            <v>753</v>
          </cell>
          <cell r="G1083" t="str">
            <v>R/G</v>
          </cell>
          <cell r="H1083" t="str">
            <v>N000</v>
          </cell>
          <cell r="I1083">
            <v>2400</v>
          </cell>
        </row>
        <row r="1084">
          <cell r="C1084" t="str">
            <v>623100V800</v>
          </cell>
          <cell r="D1084">
            <v>1</v>
          </cell>
          <cell r="E1084">
            <v>0</v>
          </cell>
          <cell r="F1084">
            <v>753</v>
          </cell>
          <cell r="G1084" t="str">
            <v>R/G</v>
          </cell>
          <cell r="H1084" t="str">
            <v>N000</v>
          </cell>
          <cell r="I1084">
            <v>1600</v>
          </cell>
        </row>
        <row r="1085">
          <cell r="C1085" t="str">
            <v>623100V800</v>
          </cell>
          <cell r="D1085">
            <v>3</v>
          </cell>
          <cell r="E1085">
            <v>0</v>
          </cell>
          <cell r="F1085">
            <v>753</v>
          </cell>
          <cell r="G1085" t="str">
            <v>R/G</v>
          </cell>
          <cell r="H1085" t="str">
            <v>N000</v>
          </cell>
          <cell r="I1085">
            <v>50</v>
          </cell>
        </row>
        <row r="1086">
          <cell r="C1086" t="str">
            <v>623100V800</v>
          </cell>
          <cell r="D1086">
            <v>3</v>
          </cell>
          <cell r="E1086">
            <v>0</v>
          </cell>
          <cell r="F1086">
            <v>753</v>
          </cell>
          <cell r="G1086" t="str">
            <v>R/G</v>
          </cell>
          <cell r="H1086" t="str">
            <v>N000</v>
          </cell>
          <cell r="I1086">
            <v>40</v>
          </cell>
        </row>
        <row r="1087">
          <cell r="C1087" t="str">
            <v>913020V601</v>
          </cell>
          <cell r="D1087">
            <v>1</v>
          </cell>
          <cell r="E1087">
            <v>0</v>
          </cell>
          <cell r="F1087">
            <v>513</v>
          </cell>
          <cell r="G1087" t="str">
            <v>D/M</v>
          </cell>
          <cell r="H1087" t="str">
            <v>G160</v>
          </cell>
          <cell r="I1087">
            <v>280</v>
          </cell>
        </row>
        <row r="1088">
          <cell r="C1088" t="str">
            <v>913020V601</v>
          </cell>
          <cell r="D1088">
            <v>1</v>
          </cell>
          <cell r="E1088">
            <v>0</v>
          </cell>
          <cell r="F1088">
            <v>513</v>
          </cell>
          <cell r="G1088" t="str">
            <v>D/M</v>
          </cell>
          <cell r="H1088" t="str">
            <v>G160</v>
          </cell>
          <cell r="I1088">
            <v>280</v>
          </cell>
        </row>
        <row r="1089">
          <cell r="C1089" t="str">
            <v>913020V602</v>
          </cell>
          <cell r="D1089">
            <v>1</v>
          </cell>
          <cell r="E1089">
            <v>0</v>
          </cell>
          <cell r="F1089">
            <v>513</v>
          </cell>
          <cell r="G1089" t="str">
            <v>D/M</v>
          </cell>
          <cell r="H1089" t="str">
            <v>G160</v>
          </cell>
          <cell r="I1089">
            <v>280</v>
          </cell>
        </row>
        <row r="1090">
          <cell r="C1090" t="str">
            <v>913020V602</v>
          </cell>
          <cell r="D1090">
            <v>1</v>
          </cell>
          <cell r="E1090">
            <v>0</v>
          </cell>
          <cell r="F1090">
            <v>513</v>
          </cell>
          <cell r="G1090" t="str">
            <v>D/M</v>
          </cell>
          <cell r="H1090" t="str">
            <v>G160</v>
          </cell>
          <cell r="I1090">
            <v>280</v>
          </cell>
        </row>
        <row r="1091">
          <cell r="C1091" t="str">
            <v>913020V605</v>
          </cell>
          <cell r="D1091">
            <v>1</v>
          </cell>
          <cell r="E1091">
            <v>0</v>
          </cell>
          <cell r="F1091">
            <v>513</v>
          </cell>
          <cell r="G1091" t="str">
            <v>D/M</v>
          </cell>
          <cell r="H1091" t="str">
            <v>G160</v>
          </cell>
          <cell r="I1091">
            <v>280</v>
          </cell>
        </row>
        <row r="1092">
          <cell r="C1092" t="str">
            <v>913020V605</v>
          </cell>
          <cell r="D1092">
            <v>1</v>
          </cell>
          <cell r="E1092">
            <v>0</v>
          </cell>
          <cell r="F1092">
            <v>513</v>
          </cell>
          <cell r="G1092" t="str">
            <v>D/M</v>
          </cell>
          <cell r="H1092" t="str">
            <v>G160</v>
          </cell>
          <cell r="I1092">
            <v>280</v>
          </cell>
        </row>
        <row r="1093">
          <cell r="C1093" t="str">
            <v>913020V611</v>
          </cell>
          <cell r="D1093">
            <v>1</v>
          </cell>
          <cell r="E1093">
            <v>0</v>
          </cell>
          <cell r="F1093">
            <v>513</v>
          </cell>
          <cell r="G1093" t="str">
            <v>D/M</v>
          </cell>
          <cell r="H1093" t="str">
            <v>G160</v>
          </cell>
          <cell r="I1093">
            <v>280</v>
          </cell>
        </row>
        <row r="1094">
          <cell r="C1094" t="str">
            <v>913020V611</v>
          </cell>
          <cell r="D1094">
            <v>1</v>
          </cell>
          <cell r="E1094">
            <v>0</v>
          </cell>
          <cell r="F1094">
            <v>513</v>
          </cell>
          <cell r="G1094" t="str">
            <v>D/M</v>
          </cell>
          <cell r="H1094" t="str">
            <v>G160</v>
          </cell>
          <cell r="I1094">
            <v>280</v>
          </cell>
        </row>
        <row r="1095">
          <cell r="C1095" t="str">
            <v>913020V612</v>
          </cell>
          <cell r="D1095">
            <v>1</v>
          </cell>
          <cell r="E1095">
            <v>0</v>
          </cell>
          <cell r="F1095">
            <v>513</v>
          </cell>
          <cell r="G1095" t="str">
            <v>D/M</v>
          </cell>
          <cell r="H1095" t="str">
            <v>G160</v>
          </cell>
          <cell r="I1095">
            <v>280</v>
          </cell>
        </row>
        <row r="1096">
          <cell r="C1096" t="str">
            <v>913020V612</v>
          </cell>
          <cell r="D1096">
            <v>1</v>
          </cell>
          <cell r="E1096">
            <v>0</v>
          </cell>
          <cell r="F1096">
            <v>513</v>
          </cell>
          <cell r="G1096" t="str">
            <v>D/M</v>
          </cell>
          <cell r="H1096" t="str">
            <v>G160</v>
          </cell>
          <cell r="I1096">
            <v>280</v>
          </cell>
        </row>
        <row r="1097">
          <cell r="C1097" t="str">
            <v>963010V501</v>
          </cell>
          <cell r="D1097">
            <v>1</v>
          </cell>
          <cell r="E1097">
            <v>0</v>
          </cell>
          <cell r="F1097">
            <v>513</v>
          </cell>
          <cell r="G1097" t="str">
            <v>D/M</v>
          </cell>
          <cell r="H1097" t="str">
            <v>G160</v>
          </cell>
          <cell r="I1097">
            <v>50</v>
          </cell>
        </row>
        <row r="1098">
          <cell r="C1098" t="str">
            <v>963010V502</v>
          </cell>
          <cell r="D1098">
            <v>1</v>
          </cell>
          <cell r="E1098">
            <v>0</v>
          </cell>
          <cell r="F1098">
            <v>513</v>
          </cell>
          <cell r="G1098" t="str">
            <v>D/M</v>
          </cell>
          <cell r="H1098" t="str">
            <v>G160</v>
          </cell>
          <cell r="I1098">
            <v>50</v>
          </cell>
        </row>
        <row r="1099">
          <cell r="C1099" t="str">
            <v>963010V505</v>
          </cell>
          <cell r="D1099">
            <v>1</v>
          </cell>
          <cell r="E1099">
            <v>0</v>
          </cell>
          <cell r="F1099">
            <v>513</v>
          </cell>
          <cell r="G1099" t="str">
            <v>D/M</v>
          </cell>
          <cell r="H1099" t="str">
            <v>G160</v>
          </cell>
          <cell r="I1099">
            <v>50</v>
          </cell>
        </row>
        <row r="1100">
          <cell r="C1100" t="str">
            <v>963010V511</v>
          </cell>
          <cell r="D1100">
            <v>1</v>
          </cell>
          <cell r="E1100">
            <v>0</v>
          </cell>
          <cell r="F1100">
            <v>513</v>
          </cell>
          <cell r="G1100" t="str">
            <v>D/M</v>
          </cell>
          <cell r="H1100" t="str">
            <v>G160</v>
          </cell>
          <cell r="I1100">
            <v>50</v>
          </cell>
        </row>
        <row r="1101">
          <cell r="C1101" t="str">
            <v>963010V512</v>
          </cell>
          <cell r="D1101">
            <v>1</v>
          </cell>
          <cell r="E1101">
            <v>0</v>
          </cell>
          <cell r="F1101">
            <v>513</v>
          </cell>
          <cell r="G1101" t="str">
            <v>D/M</v>
          </cell>
          <cell r="H1101" t="str">
            <v>G160</v>
          </cell>
          <cell r="I1101">
            <v>50</v>
          </cell>
        </row>
        <row r="1102">
          <cell r="C1102" t="str">
            <v>963010V513</v>
          </cell>
          <cell r="D1102">
            <v>1</v>
          </cell>
          <cell r="E1102">
            <v>0</v>
          </cell>
          <cell r="F1102">
            <v>513</v>
          </cell>
          <cell r="G1102" t="str">
            <v>D/M</v>
          </cell>
          <cell r="H1102" t="str">
            <v>G160</v>
          </cell>
          <cell r="I1102">
            <v>50</v>
          </cell>
        </row>
        <row r="1103">
          <cell r="C1103" t="str">
            <v>963010V514</v>
          </cell>
          <cell r="D1103">
            <v>1</v>
          </cell>
          <cell r="E1103">
            <v>0</v>
          </cell>
          <cell r="F1103">
            <v>513</v>
          </cell>
          <cell r="G1103" t="str">
            <v>D/M</v>
          </cell>
          <cell r="H1103" t="str">
            <v>G160</v>
          </cell>
          <cell r="I1103">
            <v>50</v>
          </cell>
        </row>
        <row r="1104">
          <cell r="C1104" t="str">
            <v>963010V601</v>
          </cell>
          <cell r="D1104">
            <v>1</v>
          </cell>
          <cell r="E1104">
            <v>0</v>
          </cell>
          <cell r="F1104">
            <v>513</v>
          </cell>
          <cell r="G1104" t="str">
            <v>D/M</v>
          </cell>
          <cell r="H1104" t="str">
            <v>G160</v>
          </cell>
          <cell r="I1104">
            <v>280</v>
          </cell>
        </row>
        <row r="1105">
          <cell r="C1105" t="str">
            <v>963010V602</v>
          </cell>
          <cell r="D1105">
            <v>1</v>
          </cell>
          <cell r="E1105">
            <v>0</v>
          </cell>
          <cell r="F1105">
            <v>513</v>
          </cell>
          <cell r="G1105" t="str">
            <v>D/M</v>
          </cell>
          <cell r="H1105" t="str">
            <v>G160</v>
          </cell>
          <cell r="I1105">
            <v>280</v>
          </cell>
        </row>
        <row r="1106">
          <cell r="C1106" t="str">
            <v>963010V605</v>
          </cell>
          <cell r="D1106">
            <v>1</v>
          </cell>
          <cell r="E1106">
            <v>0</v>
          </cell>
          <cell r="F1106">
            <v>513</v>
          </cell>
          <cell r="G1106" t="str">
            <v>D/M</v>
          </cell>
          <cell r="H1106" t="str">
            <v>G160</v>
          </cell>
          <cell r="I1106">
            <v>280</v>
          </cell>
        </row>
        <row r="1107">
          <cell r="C1107" t="str">
            <v>963010V611</v>
          </cell>
          <cell r="D1107">
            <v>1</v>
          </cell>
          <cell r="E1107">
            <v>0</v>
          </cell>
          <cell r="F1107">
            <v>513</v>
          </cell>
          <cell r="G1107" t="str">
            <v>D/M</v>
          </cell>
          <cell r="H1107" t="str">
            <v>G160</v>
          </cell>
          <cell r="I1107">
            <v>280</v>
          </cell>
        </row>
        <row r="1108">
          <cell r="C1108" t="str">
            <v>963010V612</v>
          </cell>
          <cell r="D1108">
            <v>1</v>
          </cell>
          <cell r="E1108">
            <v>0</v>
          </cell>
          <cell r="F1108">
            <v>513</v>
          </cell>
          <cell r="G1108" t="str">
            <v>D/M</v>
          </cell>
          <cell r="H1108" t="str">
            <v>G160</v>
          </cell>
          <cell r="I1108">
            <v>280</v>
          </cell>
        </row>
        <row r="1109">
          <cell r="C1109" t="str">
            <v>963010V613</v>
          </cell>
          <cell r="D1109">
            <v>1</v>
          </cell>
          <cell r="E1109">
            <v>0</v>
          </cell>
          <cell r="F1109">
            <v>513</v>
          </cell>
          <cell r="G1109" t="str">
            <v>D/M</v>
          </cell>
          <cell r="H1109" t="str">
            <v>G160</v>
          </cell>
          <cell r="I1109">
            <v>280</v>
          </cell>
        </row>
        <row r="1110">
          <cell r="C1110" t="str">
            <v>963010V614</v>
          </cell>
          <cell r="D1110">
            <v>1</v>
          </cell>
          <cell r="E1110">
            <v>0</v>
          </cell>
          <cell r="F1110">
            <v>513</v>
          </cell>
          <cell r="G1110" t="str">
            <v>D/M</v>
          </cell>
          <cell r="H1110" t="str">
            <v>G160</v>
          </cell>
          <cell r="I1110">
            <v>280</v>
          </cell>
        </row>
        <row r="1111">
          <cell r="C1111" t="str">
            <v>963020V501</v>
          </cell>
          <cell r="D1111">
            <v>1</v>
          </cell>
          <cell r="E1111">
            <v>0</v>
          </cell>
          <cell r="F1111">
            <v>513</v>
          </cell>
          <cell r="G1111" t="str">
            <v>D/M</v>
          </cell>
          <cell r="H1111" t="str">
            <v>G160</v>
          </cell>
          <cell r="I1111">
            <v>50</v>
          </cell>
        </row>
        <row r="1112">
          <cell r="C1112" t="str">
            <v>963020V502</v>
          </cell>
          <cell r="D1112">
            <v>1</v>
          </cell>
          <cell r="E1112">
            <v>0</v>
          </cell>
          <cell r="F1112">
            <v>513</v>
          </cell>
          <cell r="G1112" t="str">
            <v>D/M</v>
          </cell>
          <cell r="H1112" t="str">
            <v>G160</v>
          </cell>
          <cell r="I1112">
            <v>50</v>
          </cell>
        </row>
        <row r="1113">
          <cell r="C1113" t="str">
            <v>963020V505</v>
          </cell>
          <cell r="D1113">
            <v>1</v>
          </cell>
          <cell r="E1113">
            <v>0</v>
          </cell>
          <cell r="F1113">
            <v>513</v>
          </cell>
          <cell r="G1113" t="str">
            <v>D/M</v>
          </cell>
          <cell r="H1113" t="str">
            <v>G160</v>
          </cell>
          <cell r="I1113">
            <v>50</v>
          </cell>
        </row>
        <row r="1114">
          <cell r="C1114" t="str">
            <v>963020V511</v>
          </cell>
          <cell r="D1114">
            <v>1</v>
          </cell>
          <cell r="E1114">
            <v>0</v>
          </cell>
          <cell r="F1114">
            <v>513</v>
          </cell>
          <cell r="G1114" t="str">
            <v>D/M</v>
          </cell>
          <cell r="H1114" t="str">
            <v>G160</v>
          </cell>
          <cell r="I1114">
            <v>50</v>
          </cell>
        </row>
        <row r="1115">
          <cell r="C1115" t="str">
            <v>963020V512</v>
          </cell>
          <cell r="D1115">
            <v>1</v>
          </cell>
          <cell r="E1115">
            <v>0</v>
          </cell>
          <cell r="F1115">
            <v>513</v>
          </cell>
          <cell r="G1115" t="str">
            <v>D/M</v>
          </cell>
          <cell r="H1115" t="str">
            <v>G160</v>
          </cell>
          <cell r="I1115">
            <v>50</v>
          </cell>
        </row>
        <row r="1116">
          <cell r="C1116" t="str">
            <v>963020V513</v>
          </cell>
          <cell r="D1116">
            <v>1</v>
          </cell>
          <cell r="E1116">
            <v>0</v>
          </cell>
          <cell r="F1116">
            <v>513</v>
          </cell>
          <cell r="G1116" t="str">
            <v>D/M</v>
          </cell>
          <cell r="H1116" t="str">
            <v>G160</v>
          </cell>
          <cell r="I1116">
            <v>50</v>
          </cell>
        </row>
        <row r="1117">
          <cell r="C1117" t="str">
            <v>963020V514</v>
          </cell>
          <cell r="D1117">
            <v>1</v>
          </cell>
          <cell r="E1117">
            <v>0</v>
          </cell>
          <cell r="F1117">
            <v>513</v>
          </cell>
          <cell r="G1117" t="str">
            <v>D/M</v>
          </cell>
          <cell r="H1117" t="str">
            <v>G160</v>
          </cell>
          <cell r="I1117">
            <v>50</v>
          </cell>
        </row>
        <row r="1118">
          <cell r="C1118" t="str">
            <v>963020V601</v>
          </cell>
          <cell r="D1118">
            <v>1</v>
          </cell>
          <cell r="E1118">
            <v>0</v>
          </cell>
          <cell r="F1118">
            <v>513</v>
          </cell>
          <cell r="G1118" t="str">
            <v>D/M</v>
          </cell>
          <cell r="H1118" t="str">
            <v>G160</v>
          </cell>
          <cell r="I1118">
            <v>280</v>
          </cell>
        </row>
        <row r="1119">
          <cell r="C1119" t="str">
            <v>963020V602</v>
          </cell>
          <cell r="D1119">
            <v>1</v>
          </cell>
          <cell r="E1119">
            <v>0</v>
          </cell>
          <cell r="F1119">
            <v>513</v>
          </cell>
          <cell r="G1119" t="str">
            <v>D/M</v>
          </cell>
          <cell r="H1119" t="str">
            <v>G160</v>
          </cell>
          <cell r="I1119">
            <v>280</v>
          </cell>
        </row>
        <row r="1120">
          <cell r="C1120" t="str">
            <v>963020V605</v>
          </cell>
          <cell r="D1120">
            <v>1</v>
          </cell>
          <cell r="E1120">
            <v>0</v>
          </cell>
          <cell r="F1120">
            <v>513</v>
          </cell>
          <cell r="G1120" t="str">
            <v>D/M</v>
          </cell>
          <cell r="H1120" t="str">
            <v>G160</v>
          </cell>
          <cell r="I1120">
            <v>280</v>
          </cell>
        </row>
        <row r="1121">
          <cell r="C1121" t="str">
            <v>963020V611</v>
          </cell>
          <cell r="D1121">
            <v>1</v>
          </cell>
          <cell r="E1121">
            <v>0</v>
          </cell>
          <cell r="F1121">
            <v>513</v>
          </cell>
          <cell r="G1121" t="str">
            <v>D/M</v>
          </cell>
          <cell r="H1121" t="str">
            <v>G160</v>
          </cell>
          <cell r="I1121">
            <v>280</v>
          </cell>
        </row>
        <row r="1122">
          <cell r="C1122" t="str">
            <v>963020V612</v>
          </cell>
          <cell r="D1122">
            <v>1</v>
          </cell>
          <cell r="E1122">
            <v>0</v>
          </cell>
          <cell r="F1122">
            <v>513</v>
          </cell>
          <cell r="G1122" t="str">
            <v>D/M</v>
          </cell>
          <cell r="H1122" t="str">
            <v>G160</v>
          </cell>
          <cell r="I1122">
            <v>280</v>
          </cell>
        </row>
        <row r="1123">
          <cell r="C1123" t="str">
            <v>963020V613</v>
          </cell>
          <cell r="D1123">
            <v>1</v>
          </cell>
          <cell r="E1123">
            <v>0</v>
          </cell>
          <cell r="F1123">
            <v>513</v>
          </cell>
          <cell r="G1123" t="str">
            <v>D/M</v>
          </cell>
          <cell r="H1123" t="str">
            <v>G160</v>
          </cell>
          <cell r="I1123">
            <v>280</v>
          </cell>
        </row>
        <row r="1124">
          <cell r="C1124" t="str">
            <v>963020V614</v>
          </cell>
          <cell r="D1124">
            <v>1</v>
          </cell>
          <cell r="E1124">
            <v>0</v>
          </cell>
          <cell r="F1124">
            <v>513</v>
          </cell>
          <cell r="G1124" t="str">
            <v>D/M</v>
          </cell>
          <cell r="H1124" t="str">
            <v>G160</v>
          </cell>
          <cell r="I1124">
            <v>280</v>
          </cell>
        </row>
        <row r="1125">
          <cell r="C1125" t="str">
            <v>96321AA000</v>
          </cell>
          <cell r="D1125">
            <v>3</v>
          </cell>
          <cell r="E1125">
            <v>0</v>
          </cell>
          <cell r="F1125">
            <v>563</v>
          </cell>
          <cell r="G1125" t="str">
            <v>1/M</v>
          </cell>
          <cell r="H1125">
            <v>0</v>
          </cell>
          <cell r="I1125">
            <v>4000</v>
          </cell>
        </row>
        <row r="1126">
          <cell r="C1126" t="str">
            <v>963280A900</v>
          </cell>
          <cell r="D1126">
            <v>3</v>
          </cell>
          <cell r="E1126">
            <v>0</v>
          </cell>
          <cell r="F1126">
            <v>563</v>
          </cell>
          <cell r="G1126" t="str">
            <v>RUB</v>
          </cell>
          <cell r="H1126">
            <v>0</v>
          </cell>
          <cell r="I1126">
            <v>4000</v>
          </cell>
        </row>
        <row r="1127">
          <cell r="C1127" t="str">
            <v>96329AA000</v>
          </cell>
          <cell r="D1127">
            <v>3</v>
          </cell>
          <cell r="E1127">
            <v>0</v>
          </cell>
          <cell r="F1127">
            <v>563</v>
          </cell>
          <cell r="G1127" t="str">
            <v>C0VER</v>
          </cell>
          <cell r="H1127">
            <v>0</v>
          </cell>
          <cell r="I1127">
            <v>4000</v>
          </cell>
        </row>
        <row r="1128">
          <cell r="C1128" t="str">
            <v>26010WF100</v>
          </cell>
          <cell r="D1128">
            <v>1</v>
          </cell>
          <cell r="E1128">
            <v>0</v>
          </cell>
          <cell r="F1128">
            <v>151</v>
          </cell>
          <cell r="G1128" t="str">
            <v>H/L</v>
          </cell>
          <cell r="H1128" t="str">
            <v>A190</v>
          </cell>
          <cell r="I1128">
            <v>4000</v>
          </cell>
        </row>
        <row r="1129">
          <cell r="C1129" t="str">
            <v>26010WF110</v>
          </cell>
          <cell r="D1129">
            <v>1</v>
          </cell>
          <cell r="E1129">
            <v>0</v>
          </cell>
          <cell r="F1129">
            <v>151</v>
          </cell>
          <cell r="G1129" t="str">
            <v>H/L</v>
          </cell>
          <cell r="H1129" t="str">
            <v>A190</v>
          </cell>
          <cell r="I1129">
            <v>4000</v>
          </cell>
        </row>
        <row r="1130">
          <cell r="C1130" t="str">
            <v>26010WF200</v>
          </cell>
          <cell r="D1130">
            <v>1</v>
          </cell>
          <cell r="E1130">
            <v>0</v>
          </cell>
          <cell r="F1130">
            <v>151</v>
          </cell>
          <cell r="G1130" t="str">
            <v>H/L</v>
          </cell>
          <cell r="H1130" t="str">
            <v>A190</v>
          </cell>
          <cell r="I1130">
            <v>800</v>
          </cell>
        </row>
        <row r="1131">
          <cell r="C1131" t="str">
            <v>26060WF100</v>
          </cell>
          <cell r="D1131">
            <v>1</v>
          </cell>
          <cell r="E1131">
            <v>0</v>
          </cell>
          <cell r="F1131">
            <v>151</v>
          </cell>
          <cell r="G1131" t="str">
            <v>H/L</v>
          </cell>
          <cell r="H1131" t="str">
            <v>A190</v>
          </cell>
          <cell r="I1131">
            <v>4000</v>
          </cell>
        </row>
        <row r="1132">
          <cell r="C1132" t="str">
            <v>26060WF110</v>
          </cell>
          <cell r="D1132">
            <v>1</v>
          </cell>
          <cell r="E1132">
            <v>0</v>
          </cell>
          <cell r="F1132">
            <v>151</v>
          </cell>
          <cell r="G1132" t="str">
            <v>H/L</v>
          </cell>
          <cell r="H1132" t="str">
            <v>A190</v>
          </cell>
          <cell r="I1132">
            <v>4000</v>
          </cell>
        </row>
        <row r="1133">
          <cell r="C1133" t="str">
            <v>26060WF200</v>
          </cell>
          <cell r="D1133">
            <v>1</v>
          </cell>
          <cell r="E1133">
            <v>0</v>
          </cell>
          <cell r="F1133">
            <v>151</v>
          </cell>
          <cell r="G1133" t="str">
            <v>H/L</v>
          </cell>
          <cell r="H1133" t="str">
            <v>A190</v>
          </cell>
          <cell r="I1133">
            <v>800</v>
          </cell>
        </row>
        <row r="1134">
          <cell r="C1134" t="str">
            <v>26110WF100</v>
          </cell>
          <cell r="D1134">
            <v>1</v>
          </cell>
          <cell r="E1134">
            <v>0</v>
          </cell>
          <cell r="F1134">
            <v>415</v>
          </cell>
          <cell r="G1134" t="str">
            <v>SC/L</v>
          </cell>
          <cell r="H1134" t="str">
            <v>B220</v>
          </cell>
          <cell r="I1134">
            <v>4000</v>
          </cell>
        </row>
        <row r="1135">
          <cell r="C1135" t="str">
            <v>26115WF100</v>
          </cell>
          <cell r="D1135">
            <v>1</v>
          </cell>
          <cell r="E1135">
            <v>0</v>
          </cell>
          <cell r="F1135">
            <v>415</v>
          </cell>
          <cell r="G1135" t="str">
            <v>SC/L</v>
          </cell>
          <cell r="H1135" t="str">
            <v>B220</v>
          </cell>
          <cell r="I1135">
            <v>4000</v>
          </cell>
        </row>
        <row r="1136">
          <cell r="C1136" t="str">
            <v>26150WF100</v>
          </cell>
          <cell r="D1136">
            <v>1</v>
          </cell>
          <cell r="E1136">
            <v>0</v>
          </cell>
          <cell r="F1136">
            <v>415</v>
          </cell>
          <cell r="G1136" t="str">
            <v>F/L</v>
          </cell>
          <cell r="H1136" t="str">
            <v>D300</v>
          </cell>
          <cell r="I1136">
            <v>50</v>
          </cell>
        </row>
        <row r="1137">
          <cell r="C1137" t="str">
            <v>26150WF110</v>
          </cell>
          <cell r="D1137">
            <v>1</v>
          </cell>
          <cell r="E1137">
            <v>0</v>
          </cell>
          <cell r="F1137">
            <v>415</v>
          </cell>
          <cell r="G1137" t="str">
            <v>F/L</v>
          </cell>
          <cell r="H1137" t="str">
            <v>D300</v>
          </cell>
          <cell r="I1137">
            <v>10</v>
          </cell>
        </row>
        <row r="1138">
          <cell r="C1138" t="str">
            <v>26155WF100</v>
          </cell>
          <cell r="D1138">
            <v>1</v>
          </cell>
          <cell r="E1138">
            <v>0</v>
          </cell>
          <cell r="F1138">
            <v>415</v>
          </cell>
          <cell r="G1138" t="str">
            <v>F/L</v>
          </cell>
          <cell r="H1138" t="str">
            <v>D300</v>
          </cell>
          <cell r="I1138">
            <v>50</v>
          </cell>
        </row>
        <row r="1139">
          <cell r="C1139" t="str">
            <v>26155WF110</v>
          </cell>
          <cell r="D1139">
            <v>1</v>
          </cell>
          <cell r="E1139">
            <v>0</v>
          </cell>
          <cell r="F1139">
            <v>415</v>
          </cell>
          <cell r="G1139" t="str">
            <v>F/L</v>
          </cell>
          <cell r="H1139" t="str">
            <v>D300</v>
          </cell>
          <cell r="I1139">
            <v>10</v>
          </cell>
        </row>
        <row r="1140">
          <cell r="C1140" t="str">
            <v>26398WF100</v>
          </cell>
          <cell r="D1140">
            <v>1</v>
          </cell>
          <cell r="E1140">
            <v>0</v>
          </cell>
          <cell r="F1140">
            <v>214</v>
          </cell>
          <cell r="G1140" t="str">
            <v>B0LT</v>
          </cell>
          <cell r="H1140" t="str">
            <v>B000</v>
          </cell>
          <cell r="I1140">
            <v>8000</v>
          </cell>
        </row>
        <row r="1141">
          <cell r="C1141" t="str">
            <v>264100V000</v>
          </cell>
          <cell r="D1141">
            <v>3</v>
          </cell>
          <cell r="E1141">
            <v>0</v>
          </cell>
          <cell r="F1141">
            <v>415</v>
          </cell>
          <cell r="G1141" t="str">
            <v>R/L</v>
          </cell>
          <cell r="H1141" t="str">
            <v>D100</v>
          </cell>
          <cell r="I1141">
            <v>4000</v>
          </cell>
        </row>
        <row r="1142">
          <cell r="C1142" t="str">
            <v>264305L301</v>
          </cell>
          <cell r="D1142">
            <v>3</v>
          </cell>
          <cell r="E1142">
            <v>0</v>
          </cell>
          <cell r="F1142">
            <v>415</v>
          </cell>
          <cell r="G1142" t="str">
            <v>MAP/L</v>
          </cell>
          <cell r="H1142" t="str">
            <v>E010</v>
          </cell>
          <cell r="I1142">
            <v>2000</v>
          </cell>
        </row>
        <row r="1143">
          <cell r="C1143" t="str">
            <v>26430WF100</v>
          </cell>
          <cell r="D1143">
            <v>2</v>
          </cell>
          <cell r="E1143">
            <v>0</v>
          </cell>
          <cell r="F1143">
            <v>415</v>
          </cell>
          <cell r="G1143" t="str">
            <v>MAP/L</v>
          </cell>
          <cell r="H1143" t="str">
            <v>D100</v>
          </cell>
          <cell r="I1143">
            <v>2000</v>
          </cell>
        </row>
        <row r="1144">
          <cell r="C1144" t="str">
            <v>26510WF100</v>
          </cell>
          <cell r="D1144">
            <v>1</v>
          </cell>
          <cell r="E1144">
            <v>0</v>
          </cell>
          <cell r="F1144">
            <v>415</v>
          </cell>
          <cell r="G1144" t="str">
            <v>L/L</v>
          </cell>
          <cell r="H1144" t="str">
            <v>D000</v>
          </cell>
          <cell r="I1144">
            <v>4000</v>
          </cell>
        </row>
        <row r="1145">
          <cell r="C1145" t="str">
            <v>26550WF100</v>
          </cell>
          <cell r="D1145">
            <v>1</v>
          </cell>
          <cell r="E1145">
            <v>0</v>
          </cell>
          <cell r="F1145">
            <v>214</v>
          </cell>
          <cell r="G1145" t="str">
            <v>RC/L</v>
          </cell>
          <cell r="H1145" t="str">
            <v>B000</v>
          </cell>
          <cell r="I1145">
            <v>4000</v>
          </cell>
        </row>
        <row r="1146">
          <cell r="C1146" t="str">
            <v>26550WF105</v>
          </cell>
          <cell r="D1146">
            <v>1</v>
          </cell>
          <cell r="E1146">
            <v>0</v>
          </cell>
          <cell r="F1146">
            <v>214</v>
          </cell>
          <cell r="G1146" t="str">
            <v>RC/L</v>
          </cell>
          <cell r="H1146" t="str">
            <v>B000</v>
          </cell>
          <cell r="I1146">
            <v>4000</v>
          </cell>
        </row>
        <row r="1147">
          <cell r="C1147" t="str">
            <v>26550WF205</v>
          </cell>
          <cell r="D1147">
            <v>1</v>
          </cell>
          <cell r="E1147">
            <v>0</v>
          </cell>
          <cell r="F1147">
            <v>214</v>
          </cell>
          <cell r="G1147" t="str">
            <v>RC/L</v>
          </cell>
          <cell r="H1147" t="str">
            <v>B000</v>
          </cell>
          <cell r="I1147">
            <v>4000</v>
          </cell>
        </row>
        <row r="1148">
          <cell r="C1148" t="str">
            <v>26555WF100</v>
          </cell>
          <cell r="D1148">
            <v>1</v>
          </cell>
          <cell r="E1148">
            <v>0</v>
          </cell>
          <cell r="F1148">
            <v>214</v>
          </cell>
          <cell r="G1148" t="str">
            <v>RC/L</v>
          </cell>
          <cell r="H1148" t="str">
            <v>B000</v>
          </cell>
          <cell r="I1148">
            <v>4000</v>
          </cell>
        </row>
        <row r="1149">
          <cell r="C1149" t="str">
            <v>26555WF105</v>
          </cell>
          <cell r="D1149">
            <v>1</v>
          </cell>
          <cell r="E1149">
            <v>0</v>
          </cell>
          <cell r="F1149">
            <v>214</v>
          </cell>
          <cell r="G1149" t="str">
            <v>RC/L</v>
          </cell>
          <cell r="H1149" t="str">
            <v>B000</v>
          </cell>
          <cell r="I1149">
            <v>4000</v>
          </cell>
        </row>
        <row r="1150">
          <cell r="C1150" t="str">
            <v>26555WF205</v>
          </cell>
          <cell r="D1150">
            <v>1</v>
          </cell>
          <cell r="E1150">
            <v>0</v>
          </cell>
          <cell r="F1150">
            <v>214</v>
          </cell>
          <cell r="G1150" t="str">
            <v>RC/L</v>
          </cell>
          <cell r="H1150" t="str">
            <v>B000</v>
          </cell>
          <cell r="I1150">
            <v>4000</v>
          </cell>
        </row>
        <row r="1151">
          <cell r="C1151" t="str">
            <v>26590WF100</v>
          </cell>
          <cell r="D1151">
            <v>1</v>
          </cell>
          <cell r="E1151">
            <v>0</v>
          </cell>
          <cell r="F1151">
            <v>411</v>
          </cell>
          <cell r="G1151" t="str">
            <v>HMS/L</v>
          </cell>
          <cell r="H1151" t="str">
            <v>B500</v>
          </cell>
          <cell r="I1151">
            <v>4000</v>
          </cell>
        </row>
        <row r="1152">
          <cell r="C1152" t="str">
            <v>26983WF100</v>
          </cell>
          <cell r="D1152">
            <v>1</v>
          </cell>
          <cell r="E1152">
            <v>0</v>
          </cell>
          <cell r="F1152">
            <v>411</v>
          </cell>
          <cell r="G1152" t="str">
            <v>BRKT</v>
          </cell>
          <cell r="H1152" t="str">
            <v>B509</v>
          </cell>
          <cell r="I1152">
            <v>8000</v>
          </cell>
        </row>
        <row r="1153">
          <cell r="C1153" t="str">
            <v>28890WF100</v>
          </cell>
          <cell r="D1153">
            <v>2</v>
          </cell>
          <cell r="E1153">
            <v>0</v>
          </cell>
          <cell r="F1153">
            <v>714</v>
          </cell>
          <cell r="G1153" t="str">
            <v>W/B</v>
          </cell>
          <cell r="H1153" t="str">
            <v>K120</v>
          </cell>
          <cell r="I1153">
            <v>0</v>
          </cell>
        </row>
        <row r="1154">
          <cell r="C1154" t="str">
            <v>8763091P60</v>
          </cell>
          <cell r="D1154">
            <v>0</v>
          </cell>
          <cell r="E1154">
            <v>0</v>
          </cell>
          <cell r="F1154">
            <v>644</v>
          </cell>
          <cell r="G1154" t="str">
            <v>A/T</v>
          </cell>
          <cell r="H1154" t="str">
            <v>L010</v>
          </cell>
          <cell r="I1154">
            <v>0</v>
          </cell>
        </row>
        <row r="1155">
          <cell r="C1155" t="str">
            <v>96321VE000</v>
          </cell>
          <cell r="D1155">
            <v>3</v>
          </cell>
          <cell r="E1155">
            <v>0</v>
          </cell>
          <cell r="F1155">
            <v>563</v>
          </cell>
          <cell r="G1155" t="str">
            <v>I/M</v>
          </cell>
          <cell r="H1155">
            <v>0</v>
          </cell>
          <cell r="I1155">
            <v>4000</v>
          </cell>
        </row>
        <row r="1156">
          <cell r="C1156" t="str">
            <v>9632801F00</v>
          </cell>
          <cell r="D1156">
            <v>2</v>
          </cell>
          <cell r="E1156">
            <v>0</v>
          </cell>
          <cell r="F1156">
            <v>563</v>
          </cell>
          <cell r="G1156" t="str">
            <v>RUBBER</v>
          </cell>
          <cell r="H1156" t="str">
            <v>H109</v>
          </cell>
          <cell r="I1156">
            <v>4000</v>
          </cell>
        </row>
        <row r="1157">
          <cell r="C1157" t="str">
            <v>96329WF000</v>
          </cell>
          <cell r="D1157">
            <v>3</v>
          </cell>
          <cell r="E1157">
            <v>0</v>
          </cell>
          <cell r="F1157">
            <v>563</v>
          </cell>
          <cell r="G1157" t="str">
            <v>C0VER</v>
          </cell>
          <cell r="H1157">
            <v>0</v>
          </cell>
          <cell r="I1157">
            <v>4000</v>
          </cell>
        </row>
        <row r="1158">
          <cell r="C1158" t="str">
            <v>96340WF100</v>
          </cell>
          <cell r="D1158">
            <v>1</v>
          </cell>
          <cell r="E1158">
            <v>0</v>
          </cell>
          <cell r="F1158">
            <v>513</v>
          </cell>
          <cell r="G1158" t="str">
            <v>RU/M</v>
          </cell>
          <cell r="H1158" t="str">
            <v>G020</v>
          </cell>
          <cell r="I1158">
            <v>300</v>
          </cell>
        </row>
        <row r="1159">
          <cell r="C1159" t="str">
            <v>96510WF100</v>
          </cell>
          <cell r="D1159">
            <v>1</v>
          </cell>
          <cell r="E1159">
            <v>0</v>
          </cell>
          <cell r="F1159">
            <v>644</v>
          </cell>
          <cell r="G1159" t="str">
            <v>A/T</v>
          </cell>
          <cell r="H1159" t="str">
            <v>L010</v>
          </cell>
          <cell r="I1159">
            <v>4000</v>
          </cell>
        </row>
        <row r="1160">
          <cell r="C1160" t="str">
            <v>241636P000</v>
          </cell>
          <cell r="D1160">
            <v>3</v>
          </cell>
          <cell r="E1160">
            <v>0</v>
          </cell>
          <cell r="F1160">
            <v>414</v>
          </cell>
          <cell r="G1160" t="str">
            <v>HARN-R</v>
          </cell>
          <cell r="H1160" t="str">
            <v>D209</v>
          </cell>
          <cell r="I1160">
            <v>1100</v>
          </cell>
        </row>
        <row r="1161">
          <cell r="C1161" t="str">
            <v>24163VR200</v>
          </cell>
          <cell r="D1161">
            <v>2</v>
          </cell>
          <cell r="E1161">
            <v>0</v>
          </cell>
          <cell r="F1161">
            <v>414</v>
          </cell>
          <cell r="G1161" t="str">
            <v>HARN-R</v>
          </cell>
          <cell r="H1161" t="str">
            <v>D209</v>
          </cell>
          <cell r="I1161">
            <v>1100</v>
          </cell>
        </row>
        <row r="1162">
          <cell r="C1162" t="str">
            <v>26010VR200</v>
          </cell>
          <cell r="D1162">
            <v>1</v>
          </cell>
          <cell r="E1162">
            <v>0</v>
          </cell>
          <cell r="F1162">
            <v>151</v>
          </cell>
          <cell r="G1162" t="str">
            <v>H/L</v>
          </cell>
          <cell r="H1162" t="str">
            <v>A190</v>
          </cell>
          <cell r="I1162">
            <v>20</v>
          </cell>
        </row>
        <row r="1163">
          <cell r="C1163" t="str">
            <v>26010VR210</v>
          </cell>
          <cell r="D1163">
            <v>1</v>
          </cell>
          <cell r="E1163">
            <v>0</v>
          </cell>
          <cell r="F1163">
            <v>151</v>
          </cell>
          <cell r="G1163" t="str">
            <v>H/L</v>
          </cell>
          <cell r="H1163" t="str">
            <v>A190</v>
          </cell>
          <cell r="I1163">
            <v>800</v>
          </cell>
        </row>
        <row r="1164">
          <cell r="C1164" t="str">
            <v>26010VR215</v>
          </cell>
          <cell r="D1164">
            <v>1</v>
          </cell>
          <cell r="E1164">
            <v>0</v>
          </cell>
          <cell r="F1164">
            <v>151</v>
          </cell>
          <cell r="G1164" t="str">
            <v>H/L</v>
          </cell>
          <cell r="H1164" t="str">
            <v>A190</v>
          </cell>
          <cell r="I1164">
            <v>200</v>
          </cell>
        </row>
        <row r="1165">
          <cell r="C1165" t="str">
            <v>26010VR310</v>
          </cell>
          <cell r="D1165">
            <v>1</v>
          </cell>
          <cell r="E1165">
            <v>0</v>
          </cell>
          <cell r="F1165">
            <v>151</v>
          </cell>
          <cell r="G1165" t="str">
            <v>H/L</v>
          </cell>
          <cell r="H1165" t="str">
            <v>A190</v>
          </cell>
          <cell r="I1165">
            <v>200</v>
          </cell>
        </row>
        <row r="1166">
          <cell r="C1166" t="str">
            <v>26010VR315</v>
          </cell>
          <cell r="D1166">
            <v>1</v>
          </cell>
          <cell r="E1166">
            <v>0</v>
          </cell>
          <cell r="F1166">
            <v>151</v>
          </cell>
          <cell r="G1166" t="str">
            <v>H/L</v>
          </cell>
          <cell r="H1166" t="str">
            <v>A190</v>
          </cell>
          <cell r="I1166">
            <v>50</v>
          </cell>
        </row>
        <row r="1167">
          <cell r="C1167" t="str">
            <v>26060VR200</v>
          </cell>
          <cell r="D1167">
            <v>1</v>
          </cell>
          <cell r="E1167">
            <v>0</v>
          </cell>
          <cell r="F1167">
            <v>151</v>
          </cell>
          <cell r="G1167" t="str">
            <v>H/L</v>
          </cell>
          <cell r="H1167" t="str">
            <v>A190</v>
          </cell>
          <cell r="I1167">
            <v>20</v>
          </cell>
        </row>
        <row r="1168">
          <cell r="C1168" t="str">
            <v>26060VR210</v>
          </cell>
          <cell r="D1168">
            <v>1</v>
          </cell>
          <cell r="E1168">
            <v>0</v>
          </cell>
          <cell r="F1168">
            <v>151</v>
          </cell>
          <cell r="G1168" t="str">
            <v>H/L</v>
          </cell>
          <cell r="H1168" t="str">
            <v>A190</v>
          </cell>
          <cell r="I1168">
            <v>800</v>
          </cell>
        </row>
        <row r="1169">
          <cell r="C1169" t="str">
            <v>26060VR215</v>
          </cell>
          <cell r="D1169">
            <v>1</v>
          </cell>
          <cell r="E1169">
            <v>0</v>
          </cell>
          <cell r="F1169">
            <v>151</v>
          </cell>
          <cell r="G1169" t="str">
            <v>H/L</v>
          </cell>
          <cell r="H1169" t="str">
            <v>A190</v>
          </cell>
          <cell r="I1169">
            <v>200</v>
          </cell>
        </row>
        <row r="1170">
          <cell r="C1170" t="str">
            <v>26060VR310</v>
          </cell>
          <cell r="D1170">
            <v>1</v>
          </cell>
          <cell r="E1170">
            <v>0</v>
          </cell>
          <cell r="F1170">
            <v>151</v>
          </cell>
          <cell r="G1170" t="str">
            <v>H/L</v>
          </cell>
          <cell r="H1170" t="str">
            <v>A190</v>
          </cell>
          <cell r="I1170">
            <v>200</v>
          </cell>
        </row>
        <row r="1171">
          <cell r="C1171" t="str">
            <v>26060VR315</v>
          </cell>
          <cell r="D1171">
            <v>1</v>
          </cell>
          <cell r="E1171">
            <v>0</v>
          </cell>
          <cell r="F1171">
            <v>151</v>
          </cell>
          <cell r="G1171" t="str">
            <v>H/L</v>
          </cell>
          <cell r="H1171" t="str">
            <v>A190</v>
          </cell>
          <cell r="I1171">
            <v>50</v>
          </cell>
        </row>
        <row r="1172">
          <cell r="C1172" t="str">
            <v>264100H010</v>
          </cell>
          <cell r="D1172">
            <v>3</v>
          </cell>
          <cell r="E1172">
            <v>0</v>
          </cell>
          <cell r="F1172">
            <v>415</v>
          </cell>
          <cell r="G1172" t="str">
            <v>R/L</v>
          </cell>
          <cell r="H1172">
            <v>0</v>
          </cell>
          <cell r="I1172">
            <v>500</v>
          </cell>
        </row>
        <row r="1173">
          <cell r="C1173" t="str">
            <v>264100H400</v>
          </cell>
          <cell r="D1173">
            <v>3</v>
          </cell>
          <cell r="E1173">
            <v>0</v>
          </cell>
          <cell r="F1173">
            <v>415</v>
          </cell>
          <cell r="G1173" t="str">
            <v>R/L</v>
          </cell>
          <cell r="H1173">
            <v>0</v>
          </cell>
          <cell r="I1173">
            <v>500</v>
          </cell>
        </row>
        <row r="1174">
          <cell r="C1174" t="str">
            <v>2641015V00</v>
          </cell>
          <cell r="D1174">
            <v>3</v>
          </cell>
          <cell r="E1174">
            <v>0</v>
          </cell>
          <cell r="F1174">
            <v>415</v>
          </cell>
          <cell r="G1174" t="str">
            <v>R/L</v>
          </cell>
          <cell r="H1174">
            <v>0</v>
          </cell>
          <cell r="I1174">
            <v>150</v>
          </cell>
        </row>
        <row r="1175">
          <cell r="C1175" t="str">
            <v>26410VR200</v>
          </cell>
          <cell r="D1175">
            <v>1</v>
          </cell>
          <cell r="E1175">
            <v>0</v>
          </cell>
          <cell r="F1175">
            <v>415</v>
          </cell>
          <cell r="G1175" t="str">
            <v>R/L</v>
          </cell>
          <cell r="H1175" t="str">
            <v>D100</v>
          </cell>
          <cell r="I1175">
            <v>500</v>
          </cell>
        </row>
        <row r="1176">
          <cell r="C1176" t="str">
            <v>26410VR201</v>
          </cell>
          <cell r="D1176">
            <v>1</v>
          </cell>
          <cell r="E1176">
            <v>0</v>
          </cell>
          <cell r="F1176">
            <v>415</v>
          </cell>
          <cell r="G1176" t="str">
            <v>R/L</v>
          </cell>
          <cell r="H1176" t="str">
            <v>D100</v>
          </cell>
          <cell r="I1176">
            <v>500</v>
          </cell>
        </row>
        <row r="1177">
          <cell r="C1177" t="str">
            <v>26410VR210</v>
          </cell>
          <cell r="D1177">
            <v>1</v>
          </cell>
          <cell r="E1177">
            <v>0</v>
          </cell>
          <cell r="F1177">
            <v>415</v>
          </cell>
          <cell r="G1177" t="str">
            <v>R/L</v>
          </cell>
          <cell r="H1177" t="str">
            <v>D100</v>
          </cell>
          <cell r="I1177">
            <v>500</v>
          </cell>
        </row>
        <row r="1178">
          <cell r="C1178" t="str">
            <v>26410VR211</v>
          </cell>
          <cell r="D1178">
            <v>3</v>
          </cell>
          <cell r="E1178">
            <v>0</v>
          </cell>
          <cell r="F1178">
            <v>415</v>
          </cell>
          <cell r="G1178" t="str">
            <v>R/L</v>
          </cell>
          <cell r="H1178" t="str">
            <v>D100</v>
          </cell>
          <cell r="I1178">
            <v>50</v>
          </cell>
        </row>
        <row r="1179">
          <cell r="C1179" t="str">
            <v>26410VR220</v>
          </cell>
          <cell r="D1179">
            <v>1</v>
          </cell>
          <cell r="E1179">
            <v>0</v>
          </cell>
          <cell r="F1179">
            <v>415</v>
          </cell>
          <cell r="G1179" t="str">
            <v>R/L</v>
          </cell>
          <cell r="H1179" t="str">
            <v>D100</v>
          </cell>
          <cell r="I1179">
            <v>500</v>
          </cell>
        </row>
        <row r="1180">
          <cell r="C1180" t="str">
            <v>26420VR200</v>
          </cell>
          <cell r="D1180">
            <v>3</v>
          </cell>
          <cell r="E1180">
            <v>0</v>
          </cell>
          <cell r="F1180">
            <v>415</v>
          </cell>
          <cell r="G1180" t="str">
            <v>STP/L</v>
          </cell>
          <cell r="H1180" t="str">
            <v>E000</v>
          </cell>
          <cell r="I1180">
            <v>100</v>
          </cell>
        </row>
        <row r="1181">
          <cell r="C1181" t="str">
            <v>26420VR200</v>
          </cell>
          <cell r="D1181">
            <v>1</v>
          </cell>
          <cell r="E1181">
            <v>0</v>
          </cell>
          <cell r="F1181">
            <v>415</v>
          </cell>
          <cell r="G1181" t="str">
            <v>STP/L</v>
          </cell>
          <cell r="H1181" t="str">
            <v>E000</v>
          </cell>
          <cell r="I1181">
            <v>4000</v>
          </cell>
        </row>
        <row r="1182">
          <cell r="C1182" t="str">
            <v>2643010V00</v>
          </cell>
          <cell r="D1182">
            <v>3</v>
          </cell>
          <cell r="E1182">
            <v>0</v>
          </cell>
          <cell r="F1182">
            <v>415</v>
          </cell>
          <cell r="G1182" t="str">
            <v>MAP/L</v>
          </cell>
          <cell r="H1182">
            <v>0</v>
          </cell>
          <cell r="I1182">
            <v>500</v>
          </cell>
        </row>
        <row r="1183">
          <cell r="C1183" t="str">
            <v>26430VR200</v>
          </cell>
          <cell r="D1183">
            <v>1</v>
          </cell>
          <cell r="E1183">
            <v>0</v>
          </cell>
          <cell r="F1183">
            <v>415</v>
          </cell>
          <cell r="G1183" t="str">
            <v>MAP/L</v>
          </cell>
          <cell r="H1183" t="str">
            <v>E010</v>
          </cell>
          <cell r="I1183">
            <v>500</v>
          </cell>
        </row>
        <row r="1184">
          <cell r="C1184" t="str">
            <v>26430VR201</v>
          </cell>
          <cell r="D1184">
            <v>3</v>
          </cell>
          <cell r="E1184">
            <v>0</v>
          </cell>
          <cell r="F1184">
            <v>415</v>
          </cell>
          <cell r="G1184" t="str">
            <v>MAP/L</v>
          </cell>
          <cell r="H1184" t="str">
            <v>E010</v>
          </cell>
          <cell r="I1184">
            <v>50</v>
          </cell>
        </row>
        <row r="1185">
          <cell r="C1185" t="str">
            <v>26430VR201</v>
          </cell>
          <cell r="D1185">
            <v>1</v>
          </cell>
          <cell r="E1185">
            <v>0</v>
          </cell>
          <cell r="F1185">
            <v>415</v>
          </cell>
          <cell r="G1185" t="str">
            <v>MAP/L</v>
          </cell>
          <cell r="H1185" t="str">
            <v>E010</v>
          </cell>
          <cell r="I1185">
            <v>500</v>
          </cell>
        </row>
        <row r="1186">
          <cell r="C1186" t="str">
            <v>26430VR400</v>
          </cell>
          <cell r="D1186">
            <v>1</v>
          </cell>
          <cell r="E1186">
            <v>0</v>
          </cell>
          <cell r="F1186">
            <v>415</v>
          </cell>
          <cell r="G1186" t="str">
            <v>R/L</v>
          </cell>
          <cell r="H1186" t="str">
            <v>D100</v>
          </cell>
          <cell r="I1186">
            <v>600</v>
          </cell>
        </row>
        <row r="1187">
          <cell r="C1187" t="str">
            <v>264600H000</v>
          </cell>
          <cell r="D1187">
            <v>3</v>
          </cell>
          <cell r="E1187">
            <v>0</v>
          </cell>
          <cell r="F1187">
            <v>415</v>
          </cell>
          <cell r="G1187" t="str">
            <v>PER/L</v>
          </cell>
          <cell r="H1187">
            <v>0</v>
          </cell>
          <cell r="I1187">
            <v>500</v>
          </cell>
        </row>
        <row r="1188">
          <cell r="C1188" t="str">
            <v>2646081U61</v>
          </cell>
          <cell r="D1188">
            <v>1</v>
          </cell>
          <cell r="E1188">
            <v>0</v>
          </cell>
          <cell r="F1188">
            <v>415</v>
          </cell>
          <cell r="G1188" t="str">
            <v>PER/L</v>
          </cell>
          <cell r="H1188" t="str">
            <v>D100</v>
          </cell>
          <cell r="I1188">
            <v>500</v>
          </cell>
        </row>
        <row r="1189">
          <cell r="C1189" t="str">
            <v>26460VR200</v>
          </cell>
          <cell r="D1189">
            <v>1</v>
          </cell>
          <cell r="E1189">
            <v>0</v>
          </cell>
          <cell r="F1189">
            <v>415</v>
          </cell>
          <cell r="G1189" t="str">
            <v>PER/L</v>
          </cell>
          <cell r="H1189" t="str">
            <v>D100</v>
          </cell>
          <cell r="I1189">
            <v>500</v>
          </cell>
        </row>
        <row r="1190">
          <cell r="C1190" t="str">
            <v>26460VR201</v>
          </cell>
          <cell r="D1190">
            <v>3</v>
          </cell>
          <cell r="E1190">
            <v>0</v>
          </cell>
          <cell r="F1190">
            <v>415</v>
          </cell>
          <cell r="G1190" t="str">
            <v>PS/L</v>
          </cell>
          <cell r="H1190" t="str">
            <v>D100</v>
          </cell>
          <cell r="I1190">
            <v>50</v>
          </cell>
        </row>
        <row r="1191">
          <cell r="C1191" t="str">
            <v>26460VR201</v>
          </cell>
          <cell r="D1191">
            <v>1</v>
          </cell>
          <cell r="E1191">
            <v>0</v>
          </cell>
          <cell r="F1191">
            <v>415</v>
          </cell>
          <cell r="G1191" t="str">
            <v>PER/L</v>
          </cell>
          <cell r="H1191" t="str">
            <v>D100</v>
          </cell>
          <cell r="I1191">
            <v>500</v>
          </cell>
        </row>
        <row r="1192">
          <cell r="C1192" t="str">
            <v>26460VR211</v>
          </cell>
          <cell r="D1192">
            <v>3</v>
          </cell>
          <cell r="E1192">
            <v>0</v>
          </cell>
          <cell r="F1192">
            <v>415</v>
          </cell>
          <cell r="G1192" t="str">
            <v>PS/L</v>
          </cell>
          <cell r="H1192" t="str">
            <v>D100</v>
          </cell>
          <cell r="I1192">
            <v>50</v>
          </cell>
        </row>
        <row r="1193">
          <cell r="C1193" t="str">
            <v>26460VR211</v>
          </cell>
          <cell r="D1193">
            <v>1</v>
          </cell>
          <cell r="E1193">
            <v>0</v>
          </cell>
          <cell r="F1193">
            <v>415</v>
          </cell>
          <cell r="G1193" t="str">
            <v>PER/L</v>
          </cell>
          <cell r="H1193" t="str">
            <v>D100</v>
          </cell>
          <cell r="I1193">
            <v>500</v>
          </cell>
        </row>
        <row r="1194">
          <cell r="C1194" t="str">
            <v>2646581U61</v>
          </cell>
          <cell r="D1194">
            <v>1</v>
          </cell>
          <cell r="E1194">
            <v>0</v>
          </cell>
          <cell r="F1194">
            <v>415</v>
          </cell>
          <cell r="G1194" t="str">
            <v>PER/L</v>
          </cell>
          <cell r="H1194" t="str">
            <v>D100</v>
          </cell>
          <cell r="I1194">
            <v>500</v>
          </cell>
        </row>
        <row r="1195">
          <cell r="C1195" t="str">
            <v>26465VR211</v>
          </cell>
          <cell r="D1195">
            <v>3</v>
          </cell>
          <cell r="E1195">
            <v>0</v>
          </cell>
          <cell r="F1195">
            <v>415</v>
          </cell>
          <cell r="G1195" t="str">
            <v>PS/L</v>
          </cell>
          <cell r="H1195" t="str">
            <v>D100</v>
          </cell>
          <cell r="I1195">
            <v>50</v>
          </cell>
        </row>
        <row r="1196">
          <cell r="C1196" t="str">
            <v>26465VR211</v>
          </cell>
          <cell r="D1196">
            <v>1</v>
          </cell>
          <cell r="E1196">
            <v>0</v>
          </cell>
          <cell r="F1196">
            <v>415</v>
          </cell>
          <cell r="G1196" t="str">
            <v>PER/L</v>
          </cell>
          <cell r="H1196" t="str">
            <v>D100</v>
          </cell>
          <cell r="I1196">
            <v>500</v>
          </cell>
        </row>
        <row r="1197">
          <cell r="C1197" t="str">
            <v>265502H301</v>
          </cell>
          <cell r="D1197">
            <v>1</v>
          </cell>
          <cell r="E1197">
            <v>0</v>
          </cell>
          <cell r="F1197">
            <v>214</v>
          </cell>
          <cell r="G1197" t="str">
            <v>RC/L</v>
          </cell>
          <cell r="H1197" t="str">
            <v>B000</v>
          </cell>
          <cell r="I1197">
            <v>500</v>
          </cell>
        </row>
        <row r="1198">
          <cell r="C1198" t="str">
            <v>265502H311</v>
          </cell>
          <cell r="D1198">
            <v>1</v>
          </cell>
          <cell r="E1198">
            <v>0</v>
          </cell>
          <cell r="F1198">
            <v>214</v>
          </cell>
          <cell r="G1198" t="str">
            <v>RC/L</v>
          </cell>
          <cell r="H1198" t="str">
            <v>B000</v>
          </cell>
          <cell r="I1198">
            <v>400</v>
          </cell>
        </row>
        <row r="1199">
          <cell r="C1199" t="str">
            <v>265502H401</v>
          </cell>
          <cell r="D1199">
            <v>1</v>
          </cell>
          <cell r="E1199">
            <v>0</v>
          </cell>
          <cell r="F1199">
            <v>214</v>
          </cell>
          <cell r="G1199" t="str">
            <v>RC/L</v>
          </cell>
          <cell r="H1199" t="str">
            <v>B000</v>
          </cell>
          <cell r="I1199">
            <v>200</v>
          </cell>
        </row>
        <row r="1200">
          <cell r="C1200" t="str">
            <v>265502H411</v>
          </cell>
          <cell r="D1200">
            <v>1</v>
          </cell>
          <cell r="E1200">
            <v>0</v>
          </cell>
          <cell r="F1200">
            <v>214</v>
          </cell>
          <cell r="G1200" t="str">
            <v>RC/L</v>
          </cell>
          <cell r="H1200" t="str">
            <v>B000</v>
          </cell>
          <cell r="I1200">
            <v>250</v>
          </cell>
        </row>
        <row r="1201">
          <cell r="C1201" t="str">
            <v>265900H010</v>
          </cell>
          <cell r="D1201">
            <v>3</v>
          </cell>
          <cell r="E1201">
            <v>0</v>
          </cell>
          <cell r="F1201">
            <v>415</v>
          </cell>
          <cell r="G1201" t="str">
            <v>HMS/L</v>
          </cell>
          <cell r="H1201">
            <v>0</v>
          </cell>
          <cell r="I1201">
            <v>500</v>
          </cell>
        </row>
        <row r="1202">
          <cell r="C1202" t="str">
            <v>265900H020</v>
          </cell>
          <cell r="D1202">
            <v>1</v>
          </cell>
          <cell r="E1202">
            <v>0</v>
          </cell>
          <cell r="F1202">
            <v>415</v>
          </cell>
          <cell r="G1202" t="str">
            <v>HMS/L</v>
          </cell>
          <cell r="H1202" t="str">
            <v>B050</v>
          </cell>
          <cell r="I1202">
            <v>500</v>
          </cell>
        </row>
        <row r="1203">
          <cell r="C1203" t="str">
            <v>265900H021</v>
          </cell>
          <cell r="D1203">
            <v>1</v>
          </cell>
          <cell r="E1203">
            <v>0</v>
          </cell>
          <cell r="F1203">
            <v>415</v>
          </cell>
          <cell r="G1203" t="str">
            <v>HMS/L</v>
          </cell>
          <cell r="H1203" t="str">
            <v>B050</v>
          </cell>
          <cell r="I1203">
            <v>500</v>
          </cell>
        </row>
        <row r="1204">
          <cell r="C1204" t="str">
            <v>265900H022</v>
          </cell>
          <cell r="D1204">
            <v>1</v>
          </cell>
          <cell r="E1204">
            <v>0</v>
          </cell>
          <cell r="F1204">
            <v>415</v>
          </cell>
          <cell r="G1204" t="str">
            <v>HMS/L</v>
          </cell>
          <cell r="H1204" t="str">
            <v>B050</v>
          </cell>
          <cell r="I1204">
            <v>500</v>
          </cell>
        </row>
        <row r="1205">
          <cell r="C1205" t="str">
            <v>26590VR200</v>
          </cell>
          <cell r="D1205">
            <v>1</v>
          </cell>
          <cell r="E1205">
            <v>0</v>
          </cell>
          <cell r="F1205">
            <v>415</v>
          </cell>
          <cell r="G1205" t="str">
            <v>HMS/L</v>
          </cell>
          <cell r="H1205" t="str">
            <v>B050</v>
          </cell>
          <cell r="I1205">
            <v>500</v>
          </cell>
        </row>
        <row r="1206">
          <cell r="C1206" t="str">
            <v>26590VR201</v>
          </cell>
          <cell r="D1206">
            <v>1</v>
          </cell>
          <cell r="E1206">
            <v>0</v>
          </cell>
          <cell r="F1206">
            <v>415</v>
          </cell>
          <cell r="G1206" t="str">
            <v>HMS/L</v>
          </cell>
          <cell r="H1206" t="str">
            <v>B050</v>
          </cell>
          <cell r="I1206">
            <v>500</v>
          </cell>
        </row>
        <row r="1207">
          <cell r="C1207" t="str">
            <v>26590VR210</v>
          </cell>
          <cell r="D1207">
            <v>1</v>
          </cell>
          <cell r="E1207">
            <v>0</v>
          </cell>
          <cell r="F1207">
            <v>415</v>
          </cell>
          <cell r="G1207" t="str">
            <v>HMS/L</v>
          </cell>
          <cell r="H1207" t="str">
            <v>B050</v>
          </cell>
          <cell r="I1207">
            <v>500</v>
          </cell>
        </row>
        <row r="1208">
          <cell r="C1208" t="str">
            <v>26590VR211</v>
          </cell>
          <cell r="D1208">
            <v>1</v>
          </cell>
          <cell r="E1208">
            <v>0</v>
          </cell>
          <cell r="F1208">
            <v>415</v>
          </cell>
          <cell r="G1208" t="str">
            <v>HMS/L</v>
          </cell>
          <cell r="H1208" t="str">
            <v>B050</v>
          </cell>
          <cell r="I1208">
            <v>500</v>
          </cell>
        </row>
        <row r="1209">
          <cell r="C1209" t="str">
            <v>28890VR205</v>
          </cell>
          <cell r="D1209">
            <v>0</v>
          </cell>
          <cell r="E1209">
            <v>0</v>
          </cell>
          <cell r="F1209">
            <v>714</v>
          </cell>
          <cell r="G1209" t="str">
            <v>W/B</v>
          </cell>
          <cell r="H1209" t="str">
            <v>K120</v>
          </cell>
          <cell r="I1209">
            <v>40</v>
          </cell>
        </row>
        <row r="1210">
          <cell r="C1210" t="str">
            <v>28890VR205</v>
          </cell>
          <cell r="D1210">
            <v>3</v>
          </cell>
          <cell r="E1210">
            <v>0</v>
          </cell>
          <cell r="F1210">
            <v>714</v>
          </cell>
          <cell r="G1210" t="str">
            <v>W/B</v>
          </cell>
          <cell r="H1210" t="str">
            <v>K120</v>
          </cell>
          <cell r="I1210">
            <v>50</v>
          </cell>
        </row>
        <row r="1211">
          <cell r="C1211" t="str">
            <v>28890VR205</v>
          </cell>
          <cell r="D1211">
            <v>1</v>
          </cell>
          <cell r="E1211">
            <v>0</v>
          </cell>
          <cell r="F1211">
            <v>714</v>
          </cell>
          <cell r="G1211" t="str">
            <v>W/B</v>
          </cell>
          <cell r="H1211" t="str">
            <v>K120</v>
          </cell>
          <cell r="I1211">
            <v>0</v>
          </cell>
        </row>
        <row r="1212">
          <cell r="C1212" t="str">
            <v>28890VR210</v>
          </cell>
          <cell r="D1212">
            <v>0</v>
          </cell>
          <cell r="E1212">
            <v>0</v>
          </cell>
          <cell r="F1212">
            <v>714</v>
          </cell>
          <cell r="G1212" t="str">
            <v>W/B</v>
          </cell>
          <cell r="H1212" t="str">
            <v>K120</v>
          </cell>
          <cell r="I1212">
            <v>40</v>
          </cell>
        </row>
        <row r="1213">
          <cell r="C1213" t="str">
            <v>28890VR210</v>
          </cell>
          <cell r="D1213">
            <v>3</v>
          </cell>
          <cell r="E1213">
            <v>0</v>
          </cell>
          <cell r="F1213">
            <v>714</v>
          </cell>
          <cell r="G1213" t="str">
            <v>W/B</v>
          </cell>
          <cell r="H1213" t="str">
            <v>K120</v>
          </cell>
          <cell r="I1213">
            <v>50</v>
          </cell>
        </row>
        <row r="1214">
          <cell r="C1214" t="str">
            <v>28890VR210</v>
          </cell>
          <cell r="D1214">
            <v>1</v>
          </cell>
          <cell r="E1214">
            <v>0</v>
          </cell>
          <cell r="F1214">
            <v>714</v>
          </cell>
          <cell r="G1214" t="str">
            <v>W/B</v>
          </cell>
          <cell r="H1214" t="str">
            <v>K120</v>
          </cell>
          <cell r="I1214">
            <v>0</v>
          </cell>
        </row>
        <row r="1215">
          <cell r="C1215" t="str">
            <v>87502VR460</v>
          </cell>
          <cell r="D1215">
            <v>0</v>
          </cell>
          <cell r="E1215">
            <v>0</v>
          </cell>
          <cell r="F1215">
            <v>611</v>
          </cell>
          <cell r="G1215" t="str">
            <v>S/A</v>
          </cell>
          <cell r="H1215" t="str">
            <v>J000</v>
          </cell>
          <cell r="I1215">
            <v>700</v>
          </cell>
        </row>
        <row r="1216">
          <cell r="C1216" t="str">
            <v>87508VR201</v>
          </cell>
          <cell r="D1216">
            <v>2</v>
          </cell>
          <cell r="E1216">
            <v>0</v>
          </cell>
          <cell r="F1216">
            <v>751</v>
          </cell>
          <cell r="G1216" t="str">
            <v>C0VER</v>
          </cell>
          <cell r="H1216" t="str">
            <v>J009</v>
          </cell>
          <cell r="I1216">
            <v>200</v>
          </cell>
        </row>
        <row r="1217">
          <cell r="C1217" t="str">
            <v>87508VR202</v>
          </cell>
          <cell r="D1217">
            <v>2</v>
          </cell>
          <cell r="E1217">
            <v>0</v>
          </cell>
          <cell r="F1217">
            <v>751</v>
          </cell>
          <cell r="G1217" t="str">
            <v>C0VER</v>
          </cell>
          <cell r="H1217" t="str">
            <v>J009</v>
          </cell>
          <cell r="I1217">
            <v>200</v>
          </cell>
        </row>
        <row r="1218">
          <cell r="C1218" t="str">
            <v>87509VR201</v>
          </cell>
          <cell r="D1218">
            <v>2</v>
          </cell>
          <cell r="E1218">
            <v>0</v>
          </cell>
          <cell r="F1218">
            <v>751</v>
          </cell>
          <cell r="G1218" t="str">
            <v>C0VER</v>
          </cell>
          <cell r="H1218" t="str">
            <v>J009</v>
          </cell>
          <cell r="I1218">
            <v>200</v>
          </cell>
        </row>
        <row r="1219">
          <cell r="C1219" t="str">
            <v>87509VR202</v>
          </cell>
          <cell r="D1219">
            <v>2</v>
          </cell>
          <cell r="E1219">
            <v>0</v>
          </cell>
          <cell r="F1219">
            <v>751</v>
          </cell>
          <cell r="G1219" t="str">
            <v>C0VER</v>
          </cell>
          <cell r="H1219" t="str">
            <v>J009</v>
          </cell>
          <cell r="I1219">
            <v>200</v>
          </cell>
        </row>
        <row r="1220">
          <cell r="C1220" t="str">
            <v>87509VR211</v>
          </cell>
          <cell r="D1220">
            <v>2</v>
          </cell>
          <cell r="E1220">
            <v>0</v>
          </cell>
          <cell r="F1220">
            <v>751</v>
          </cell>
          <cell r="G1220" t="str">
            <v>C0VER</v>
          </cell>
          <cell r="H1220" t="str">
            <v>J009</v>
          </cell>
          <cell r="I1220">
            <v>50</v>
          </cell>
        </row>
        <row r="1221">
          <cell r="C1221" t="str">
            <v>87509VR212</v>
          </cell>
          <cell r="D1221">
            <v>2</v>
          </cell>
          <cell r="E1221">
            <v>0</v>
          </cell>
          <cell r="F1221">
            <v>751</v>
          </cell>
          <cell r="G1221" t="str">
            <v>C0VER</v>
          </cell>
          <cell r="H1221" t="str">
            <v>J009</v>
          </cell>
          <cell r="I1221">
            <v>50</v>
          </cell>
        </row>
        <row r="1222">
          <cell r="C1222" t="str">
            <v>87552VR000</v>
          </cell>
          <cell r="D1222">
            <v>0</v>
          </cell>
          <cell r="E1222">
            <v>0</v>
          </cell>
          <cell r="F1222">
            <v>611</v>
          </cell>
          <cell r="G1222" t="str">
            <v>S/A</v>
          </cell>
          <cell r="H1222" t="str">
            <v>J000</v>
          </cell>
          <cell r="I1222">
            <v>10</v>
          </cell>
        </row>
        <row r="1223">
          <cell r="C1223" t="str">
            <v>87558VR201</v>
          </cell>
          <cell r="D1223">
            <v>2</v>
          </cell>
          <cell r="E1223">
            <v>0</v>
          </cell>
          <cell r="F1223">
            <v>751</v>
          </cell>
          <cell r="G1223" t="str">
            <v>C0VER</v>
          </cell>
          <cell r="H1223" t="str">
            <v>J009</v>
          </cell>
          <cell r="I1223">
            <v>200</v>
          </cell>
        </row>
        <row r="1224">
          <cell r="C1224" t="str">
            <v>87558VR202</v>
          </cell>
          <cell r="D1224">
            <v>2</v>
          </cell>
          <cell r="E1224">
            <v>0</v>
          </cell>
          <cell r="F1224">
            <v>751</v>
          </cell>
          <cell r="G1224" t="str">
            <v>C0VER</v>
          </cell>
          <cell r="H1224" t="str">
            <v>J009</v>
          </cell>
          <cell r="I1224">
            <v>200</v>
          </cell>
        </row>
        <row r="1225">
          <cell r="C1225" t="str">
            <v>87559VR201</v>
          </cell>
          <cell r="D1225">
            <v>2</v>
          </cell>
          <cell r="E1225">
            <v>0</v>
          </cell>
          <cell r="F1225">
            <v>751</v>
          </cell>
          <cell r="G1225" t="str">
            <v>C0VER</v>
          </cell>
          <cell r="H1225" t="str">
            <v>J009</v>
          </cell>
          <cell r="I1225">
            <v>200</v>
          </cell>
        </row>
        <row r="1226">
          <cell r="C1226" t="str">
            <v>87559VR202</v>
          </cell>
          <cell r="D1226">
            <v>2</v>
          </cell>
          <cell r="E1226">
            <v>0</v>
          </cell>
          <cell r="F1226">
            <v>751</v>
          </cell>
          <cell r="G1226" t="str">
            <v>C0VER</v>
          </cell>
          <cell r="H1226" t="str">
            <v>J009</v>
          </cell>
          <cell r="I1226">
            <v>200</v>
          </cell>
        </row>
        <row r="1227">
          <cell r="C1227" t="str">
            <v>87559VR221</v>
          </cell>
          <cell r="D1227">
            <v>2</v>
          </cell>
          <cell r="E1227">
            <v>0</v>
          </cell>
          <cell r="F1227">
            <v>751</v>
          </cell>
          <cell r="G1227" t="str">
            <v>C0VER</v>
          </cell>
          <cell r="H1227" t="str">
            <v>J009</v>
          </cell>
          <cell r="I1227">
            <v>50</v>
          </cell>
        </row>
        <row r="1228">
          <cell r="C1228" t="str">
            <v>87559VR222</v>
          </cell>
          <cell r="D1228">
            <v>2</v>
          </cell>
          <cell r="E1228">
            <v>0</v>
          </cell>
          <cell r="F1228">
            <v>751</v>
          </cell>
          <cell r="G1228" t="str">
            <v>C0VER</v>
          </cell>
          <cell r="H1228" t="str">
            <v>J009</v>
          </cell>
          <cell r="I1228">
            <v>50</v>
          </cell>
        </row>
        <row r="1229">
          <cell r="C1229" t="str">
            <v>963011H710</v>
          </cell>
          <cell r="D1229">
            <v>3</v>
          </cell>
          <cell r="E1229">
            <v>0</v>
          </cell>
          <cell r="F1229">
            <v>513</v>
          </cell>
          <cell r="G1229" t="str">
            <v>D/M</v>
          </cell>
          <cell r="H1229">
            <v>0</v>
          </cell>
          <cell r="I1229">
            <v>20</v>
          </cell>
        </row>
        <row r="1230">
          <cell r="C1230" t="str">
            <v>963011H720</v>
          </cell>
          <cell r="D1230">
            <v>3</v>
          </cell>
          <cell r="E1230">
            <v>0</v>
          </cell>
          <cell r="F1230">
            <v>513</v>
          </cell>
          <cell r="G1230" t="str">
            <v>D/M</v>
          </cell>
          <cell r="H1230">
            <v>0</v>
          </cell>
          <cell r="I1230">
            <v>200</v>
          </cell>
        </row>
        <row r="1231">
          <cell r="C1231" t="str">
            <v>963021H710</v>
          </cell>
          <cell r="D1231">
            <v>3</v>
          </cell>
          <cell r="E1231">
            <v>0</v>
          </cell>
          <cell r="F1231">
            <v>513</v>
          </cell>
          <cell r="G1231" t="str">
            <v>D/M</v>
          </cell>
          <cell r="H1231">
            <v>0</v>
          </cell>
          <cell r="I1231">
            <v>20</v>
          </cell>
        </row>
        <row r="1232">
          <cell r="C1232" t="str">
            <v>963021H720</v>
          </cell>
          <cell r="D1232">
            <v>3</v>
          </cell>
          <cell r="E1232">
            <v>0</v>
          </cell>
          <cell r="F1232">
            <v>513</v>
          </cell>
          <cell r="G1232" t="str">
            <v>D/M</v>
          </cell>
          <cell r="H1232">
            <v>0</v>
          </cell>
          <cell r="I1232">
            <v>200</v>
          </cell>
        </row>
        <row r="1233">
          <cell r="C1233" t="str">
            <v>96310VR600</v>
          </cell>
          <cell r="D1233">
            <v>1</v>
          </cell>
          <cell r="E1233">
            <v>0</v>
          </cell>
          <cell r="F1233">
            <v>513</v>
          </cell>
          <cell r="G1233" t="str">
            <v>STAY</v>
          </cell>
          <cell r="H1233" t="str">
            <v>G010</v>
          </cell>
          <cell r="I1233">
            <v>300</v>
          </cell>
        </row>
        <row r="1234">
          <cell r="C1234" t="str">
            <v>96310VR700</v>
          </cell>
          <cell r="D1234">
            <v>1</v>
          </cell>
          <cell r="E1234">
            <v>0</v>
          </cell>
          <cell r="F1234">
            <v>513</v>
          </cell>
          <cell r="G1234" t="str">
            <v>STAY</v>
          </cell>
          <cell r="H1234" t="str">
            <v>G050</v>
          </cell>
          <cell r="I1234">
            <v>300</v>
          </cell>
        </row>
        <row r="1235">
          <cell r="C1235" t="str">
            <v>96310VR710</v>
          </cell>
          <cell r="D1235">
            <v>1</v>
          </cell>
          <cell r="E1235">
            <v>0</v>
          </cell>
          <cell r="F1235">
            <v>513</v>
          </cell>
          <cell r="G1235" t="str">
            <v>STAY</v>
          </cell>
          <cell r="H1235" t="str">
            <v>G050</v>
          </cell>
          <cell r="I1235">
            <v>50</v>
          </cell>
        </row>
        <row r="1236">
          <cell r="C1236" t="str">
            <v>96311VR600</v>
          </cell>
          <cell r="D1236">
            <v>1</v>
          </cell>
          <cell r="E1236">
            <v>0</v>
          </cell>
          <cell r="F1236">
            <v>513</v>
          </cell>
          <cell r="G1236" t="str">
            <v>STAY</v>
          </cell>
          <cell r="H1236" t="str">
            <v>G010</v>
          </cell>
          <cell r="I1236">
            <v>300</v>
          </cell>
        </row>
        <row r="1237">
          <cell r="C1237" t="str">
            <v>96311VR700</v>
          </cell>
          <cell r="D1237">
            <v>1</v>
          </cell>
          <cell r="E1237">
            <v>0</v>
          </cell>
          <cell r="F1237">
            <v>513</v>
          </cell>
          <cell r="G1237" t="str">
            <v>STAY</v>
          </cell>
          <cell r="H1237" t="str">
            <v>G050</v>
          </cell>
          <cell r="I1237">
            <v>300</v>
          </cell>
        </row>
        <row r="1238">
          <cell r="C1238" t="str">
            <v>96311VR710</v>
          </cell>
          <cell r="D1238">
            <v>1</v>
          </cell>
          <cell r="E1238">
            <v>0</v>
          </cell>
          <cell r="F1238">
            <v>513</v>
          </cell>
          <cell r="G1238" t="str">
            <v>STAY</v>
          </cell>
          <cell r="H1238" t="str">
            <v>G050</v>
          </cell>
          <cell r="I1238">
            <v>50</v>
          </cell>
        </row>
        <row r="1239">
          <cell r="C1239" t="str">
            <v>963210P061</v>
          </cell>
          <cell r="D1239">
            <v>2</v>
          </cell>
          <cell r="E1239">
            <v>0</v>
          </cell>
          <cell r="F1239">
            <v>563</v>
          </cell>
          <cell r="G1239" t="str">
            <v>GP/M</v>
          </cell>
          <cell r="H1239" t="str">
            <v>H100</v>
          </cell>
          <cell r="I1239">
            <v>600</v>
          </cell>
        </row>
        <row r="1240">
          <cell r="C1240" t="str">
            <v>963210P561</v>
          </cell>
          <cell r="D1240">
            <v>2</v>
          </cell>
          <cell r="E1240">
            <v>0</v>
          </cell>
          <cell r="F1240">
            <v>563</v>
          </cell>
          <cell r="G1240" t="str">
            <v>JGP/M</v>
          </cell>
          <cell r="H1240" t="str">
            <v>H120</v>
          </cell>
          <cell r="I1240">
            <v>10</v>
          </cell>
        </row>
        <row r="1241">
          <cell r="C1241" t="str">
            <v>963211A300</v>
          </cell>
          <cell r="D1241">
            <v>1</v>
          </cell>
          <cell r="E1241">
            <v>0</v>
          </cell>
          <cell r="F1241">
            <v>563</v>
          </cell>
          <cell r="G1241" t="str">
            <v>I/M</v>
          </cell>
          <cell r="H1241" t="str">
            <v>H000</v>
          </cell>
          <cell r="I1241">
            <v>20</v>
          </cell>
        </row>
        <row r="1242">
          <cell r="C1242" t="str">
            <v>9632176T01</v>
          </cell>
          <cell r="D1242">
            <v>3</v>
          </cell>
          <cell r="E1242">
            <v>0</v>
          </cell>
          <cell r="F1242">
            <v>563</v>
          </cell>
          <cell r="G1242" t="str">
            <v>GP/M</v>
          </cell>
          <cell r="H1242" t="str">
            <v>H120</v>
          </cell>
          <cell r="I1242">
            <v>10</v>
          </cell>
        </row>
        <row r="1243">
          <cell r="C1243" t="str">
            <v>9632176T01</v>
          </cell>
          <cell r="D1243">
            <v>2</v>
          </cell>
          <cell r="E1243">
            <v>0</v>
          </cell>
          <cell r="F1243">
            <v>563</v>
          </cell>
          <cell r="G1243" t="str">
            <v>JGP/M</v>
          </cell>
          <cell r="H1243" t="str">
            <v>H120</v>
          </cell>
          <cell r="I1243">
            <v>10</v>
          </cell>
        </row>
        <row r="1244">
          <cell r="C1244" t="str">
            <v>96321VR201</v>
          </cell>
          <cell r="D1244">
            <v>3</v>
          </cell>
          <cell r="E1244">
            <v>0</v>
          </cell>
          <cell r="F1244">
            <v>563</v>
          </cell>
          <cell r="G1244" t="str">
            <v>GP/M</v>
          </cell>
          <cell r="H1244" t="str">
            <v>H100</v>
          </cell>
          <cell r="I1244">
            <v>20</v>
          </cell>
        </row>
        <row r="1245">
          <cell r="C1245" t="str">
            <v>96321VR201</v>
          </cell>
          <cell r="D1245">
            <v>2</v>
          </cell>
          <cell r="E1245">
            <v>0</v>
          </cell>
          <cell r="F1245">
            <v>563</v>
          </cell>
          <cell r="G1245" t="str">
            <v>GP/M</v>
          </cell>
          <cell r="H1245" t="str">
            <v>H100</v>
          </cell>
          <cell r="I1245">
            <v>600</v>
          </cell>
        </row>
        <row r="1246">
          <cell r="C1246" t="str">
            <v>963290P061</v>
          </cell>
          <cell r="D1246">
            <v>2</v>
          </cell>
          <cell r="E1246">
            <v>0</v>
          </cell>
          <cell r="F1246">
            <v>563</v>
          </cell>
          <cell r="G1246" t="str">
            <v>C0VER</v>
          </cell>
          <cell r="H1246" t="str">
            <v>H102</v>
          </cell>
          <cell r="I1246">
            <v>600</v>
          </cell>
        </row>
        <row r="1247">
          <cell r="C1247" t="str">
            <v>963290P561</v>
          </cell>
          <cell r="D1247">
            <v>2</v>
          </cell>
          <cell r="E1247">
            <v>0</v>
          </cell>
          <cell r="F1247">
            <v>563</v>
          </cell>
          <cell r="G1247" t="str">
            <v>C0VER</v>
          </cell>
          <cell r="H1247" t="str">
            <v>H122</v>
          </cell>
          <cell r="I1247">
            <v>10</v>
          </cell>
        </row>
        <row r="1248">
          <cell r="C1248" t="str">
            <v>9632976T01</v>
          </cell>
          <cell r="D1248">
            <v>3</v>
          </cell>
          <cell r="E1248">
            <v>0</v>
          </cell>
          <cell r="F1248">
            <v>563</v>
          </cell>
          <cell r="G1248" t="str">
            <v>C0VER</v>
          </cell>
          <cell r="H1248" t="str">
            <v>H129</v>
          </cell>
          <cell r="I1248">
            <v>10</v>
          </cell>
        </row>
        <row r="1249">
          <cell r="C1249" t="str">
            <v>9632976T01</v>
          </cell>
          <cell r="D1249">
            <v>2</v>
          </cell>
          <cell r="E1249">
            <v>0</v>
          </cell>
          <cell r="F1249">
            <v>563</v>
          </cell>
          <cell r="G1249" t="str">
            <v>C0VER</v>
          </cell>
          <cell r="H1249" t="str">
            <v>H122</v>
          </cell>
          <cell r="I1249">
            <v>10</v>
          </cell>
        </row>
        <row r="1250">
          <cell r="C1250" t="str">
            <v>96329VR201</v>
          </cell>
          <cell r="D1250">
            <v>3</v>
          </cell>
          <cell r="E1250">
            <v>0</v>
          </cell>
          <cell r="F1250">
            <v>563</v>
          </cell>
          <cell r="G1250" t="str">
            <v>C0VER</v>
          </cell>
          <cell r="H1250" t="str">
            <v>H109</v>
          </cell>
          <cell r="I1250">
            <v>20</v>
          </cell>
        </row>
        <row r="1251">
          <cell r="C1251" t="str">
            <v>96329VR201</v>
          </cell>
          <cell r="D1251">
            <v>2</v>
          </cell>
          <cell r="E1251">
            <v>0</v>
          </cell>
          <cell r="F1251">
            <v>563</v>
          </cell>
          <cell r="G1251" t="str">
            <v>C0VER</v>
          </cell>
          <cell r="H1251" t="str">
            <v>H109</v>
          </cell>
          <cell r="I1251">
            <v>600</v>
          </cell>
        </row>
        <row r="1252">
          <cell r="C1252" t="str">
            <v>96520VR200</v>
          </cell>
          <cell r="D1252">
            <v>1</v>
          </cell>
          <cell r="E1252">
            <v>0</v>
          </cell>
          <cell r="F1252">
            <v>644</v>
          </cell>
          <cell r="G1252" t="str">
            <v>A/T</v>
          </cell>
          <cell r="H1252" t="str">
            <v>L010</v>
          </cell>
          <cell r="I1252">
            <v>200</v>
          </cell>
        </row>
        <row r="1253">
          <cell r="C1253" t="str">
            <v>96520VR210</v>
          </cell>
          <cell r="D1253">
            <v>1</v>
          </cell>
          <cell r="E1253">
            <v>0</v>
          </cell>
          <cell r="F1253">
            <v>644</v>
          </cell>
          <cell r="G1253" t="str">
            <v>A/T</v>
          </cell>
          <cell r="H1253" t="str">
            <v>L010</v>
          </cell>
          <cell r="I1253">
            <v>600</v>
          </cell>
        </row>
        <row r="1254">
          <cell r="C1254" t="str">
            <v>96521VR200</v>
          </cell>
          <cell r="D1254">
            <v>1</v>
          </cell>
          <cell r="E1254">
            <v>0</v>
          </cell>
          <cell r="F1254">
            <v>644</v>
          </cell>
          <cell r="G1254" t="str">
            <v>A/T</v>
          </cell>
          <cell r="H1254" t="str">
            <v>L010</v>
          </cell>
          <cell r="I1254">
            <v>200</v>
          </cell>
        </row>
        <row r="1255">
          <cell r="C1255" t="str">
            <v>96521VR210</v>
          </cell>
          <cell r="D1255">
            <v>1</v>
          </cell>
          <cell r="E1255">
            <v>0</v>
          </cell>
          <cell r="F1255">
            <v>644</v>
          </cell>
          <cell r="G1255" t="str">
            <v>A/T</v>
          </cell>
          <cell r="H1255" t="str">
            <v>L010</v>
          </cell>
          <cell r="I1255">
            <v>600</v>
          </cell>
        </row>
        <row r="1256">
          <cell r="C1256" t="str">
            <v>965366C200</v>
          </cell>
          <cell r="D1256">
            <v>3</v>
          </cell>
          <cell r="E1256">
            <v>0</v>
          </cell>
          <cell r="F1256">
            <v>644</v>
          </cell>
          <cell r="G1256" t="str">
            <v>A/T</v>
          </cell>
          <cell r="H1256" t="str">
            <v>L010</v>
          </cell>
          <cell r="I1256">
            <v>10</v>
          </cell>
        </row>
        <row r="1257">
          <cell r="C1257" t="str">
            <v>26010VP100</v>
          </cell>
          <cell r="D1257">
            <v>1</v>
          </cell>
          <cell r="E1257">
            <v>0</v>
          </cell>
          <cell r="F1257">
            <v>151</v>
          </cell>
          <cell r="G1257" t="str">
            <v>H/L</v>
          </cell>
          <cell r="H1257" t="str">
            <v>A400</v>
          </cell>
          <cell r="I1257">
            <v>25</v>
          </cell>
        </row>
        <row r="1258">
          <cell r="C1258" t="str">
            <v>26060VP100</v>
          </cell>
          <cell r="D1258">
            <v>1</v>
          </cell>
          <cell r="E1258">
            <v>0</v>
          </cell>
          <cell r="F1258">
            <v>151</v>
          </cell>
          <cell r="G1258" t="str">
            <v>H/L</v>
          </cell>
          <cell r="H1258" t="str">
            <v>A400</v>
          </cell>
          <cell r="I1258">
            <v>25</v>
          </cell>
        </row>
        <row r="1259">
          <cell r="C1259" t="str">
            <v>26120VP100</v>
          </cell>
          <cell r="D1259">
            <v>1</v>
          </cell>
          <cell r="E1259">
            <v>0</v>
          </cell>
          <cell r="F1259">
            <v>415</v>
          </cell>
          <cell r="G1259" t="str">
            <v>FC/L</v>
          </cell>
          <cell r="H1259" t="str">
            <v>B100</v>
          </cell>
          <cell r="I1259">
            <v>200</v>
          </cell>
        </row>
        <row r="1260">
          <cell r="C1260" t="str">
            <v>26125VP100</v>
          </cell>
          <cell r="D1260">
            <v>1</v>
          </cell>
          <cell r="E1260">
            <v>0</v>
          </cell>
          <cell r="F1260">
            <v>415</v>
          </cell>
          <cell r="G1260" t="str">
            <v>FC/L</v>
          </cell>
          <cell r="H1260" t="str">
            <v>B100</v>
          </cell>
          <cell r="I1260">
            <v>200</v>
          </cell>
        </row>
        <row r="1261">
          <cell r="C1261" t="str">
            <v>26160VP100</v>
          </cell>
          <cell r="D1261">
            <v>1</v>
          </cell>
          <cell r="E1261">
            <v>0</v>
          </cell>
          <cell r="F1261">
            <v>415</v>
          </cell>
          <cell r="G1261" t="str">
            <v>FST/L</v>
          </cell>
          <cell r="H1261" t="str">
            <v>B200</v>
          </cell>
          <cell r="I1261">
            <v>200</v>
          </cell>
        </row>
        <row r="1262">
          <cell r="C1262" t="str">
            <v>2619030P00</v>
          </cell>
          <cell r="D1262">
            <v>2</v>
          </cell>
          <cell r="E1262">
            <v>0</v>
          </cell>
          <cell r="F1262">
            <v>415</v>
          </cell>
          <cell r="G1262" t="str">
            <v>SM/L</v>
          </cell>
          <cell r="H1262">
            <v>0</v>
          </cell>
          <cell r="I1262">
            <v>200</v>
          </cell>
        </row>
        <row r="1263">
          <cell r="C1263" t="str">
            <v>26190VP100</v>
          </cell>
          <cell r="D1263">
            <v>1</v>
          </cell>
          <cell r="E1263">
            <v>0</v>
          </cell>
          <cell r="F1263">
            <v>415</v>
          </cell>
          <cell r="G1263" t="str">
            <v>RSM/L</v>
          </cell>
          <cell r="H1263" t="str">
            <v>B210</v>
          </cell>
          <cell r="I1263">
            <v>200</v>
          </cell>
        </row>
        <row r="1264">
          <cell r="C1264" t="str">
            <v>2619530P00</v>
          </cell>
          <cell r="D1264">
            <v>2</v>
          </cell>
          <cell r="E1264">
            <v>0</v>
          </cell>
          <cell r="F1264">
            <v>415</v>
          </cell>
          <cell r="G1264" t="str">
            <v>SM/L</v>
          </cell>
          <cell r="H1264">
            <v>0</v>
          </cell>
          <cell r="I1264">
            <v>200</v>
          </cell>
        </row>
        <row r="1265">
          <cell r="C1265" t="str">
            <v>26195VP100</v>
          </cell>
          <cell r="D1265">
            <v>1</v>
          </cell>
          <cell r="E1265">
            <v>0</v>
          </cell>
          <cell r="F1265">
            <v>415</v>
          </cell>
          <cell r="G1265" t="str">
            <v>RSM/L</v>
          </cell>
          <cell r="H1265" t="str">
            <v>B210</v>
          </cell>
          <cell r="I1265">
            <v>200</v>
          </cell>
        </row>
        <row r="1266">
          <cell r="C1266" t="str">
            <v>2643031P00</v>
          </cell>
          <cell r="D1266">
            <v>3</v>
          </cell>
          <cell r="E1266">
            <v>0</v>
          </cell>
          <cell r="F1266">
            <v>415</v>
          </cell>
          <cell r="G1266" t="str">
            <v>SP0T/L</v>
          </cell>
          <cell r="H1266">
            <v>0</v>
          </cell>
          <cell r="I1266">
            <v>50</v>
          </cell>
        </row>
        <row r="1267">
          <cell r="C1267" t="str">
            <v>96301VP100</v>
          </cell>
          <cell r="D1267">
            <v>1</v>
          </cell>
          <cell r="E1267">
            <v>0</v>
          </cell>
          <cell r="F1267">
            <v>513</v>
          </cell>
          <cell r="G1267" t="str">
            <v>D/M</v>
          </cell>
          <cell r="H1267" t="str">
            <v>G160</v>
          </cell>
          <cell r="I1267">
            <v>20</v>
          </cell>
        </row>
        <row r="1268">
          <cell r="C1268" t="str">
            <v>96301VP101</v>
          </cell>
          <cell r="D1268">
            <v>1</v>
          </cell>
          <cell r="E1268">
            <v>0</v>
          </cell>
          <cell r="F1268">
            <v>513</v>
          </cell>
          <cell r="G1268" t="str">
            <v>D/M</v>
          </cell>
          <cell r="H1268" t="str">
            <v>G160</v>
          </cell>
          <cell r="I1268">
            <v>20</v>
          </cell>
        </row>
        <row r="1269">
          <cell r="C1269" t="str">
            <v>96301VP102</v>
          </cell>
          <cell r="D1269">
            <v>1</v>
          </cell>
          <cell r="E1269">
            <v>0</v>
          </cell>
          <cell r="F1269">
            <v>513</v>
          </cell>
          <cell r="G1269" t="str">
            <v>D/M</v>
          </cell>
          <cell r="H1269" t="str">
            <v>G160</v>
          </cell>
          <cell r="I1269">
            <v>20</v>
          </cell>
        </row>
        <row r="1270">
          <cell r="C1270" t="str">
            <v>96301VP103</v>
          </cell>
          <cell r="D1270">
            <v>1</v>
          </cell>
          <cell r="E1270">
            <v>0</v>
          </cell>
          <cell r="F1270">
            <v>513</v>
          </cell>
          <cell r="G1270" t="str">
            <v>D/M</v>
          </cell>
          <cell r="H1270" t="str">
            <v>G160</v>
          </cell>
          <cell r="I1270">
            <v>20</v>
          </cell>
        </row>
        <row r="1271">
          <cell r="C1271" t="str">
            <v>96301VP104</v>
          </cell>
          <cell r="D1271">
            <v>1</v>
          </cell>
          <cell r="E1271">
            <v>0</v>
          </cell>
          <cell r="F1271">
            <v>513</v>
          </cell>
          <cell r="G1271" t="str">
            <v>D/M</v>
          </cell>
          <cell r="H1271" t="str">
            <v>G160</v>
          </cell>
          <cell r="I1271">
            <v>20</v>
          </cell>
        </row>
        <row r="1272">
          <cell r="C1272" t="str">
            <v>96301VP105</v>
          </cell>
          <cell r="D1272">
            <v>1</v>
          </cell>
          <cell r="E1272">
            <v>0</v>
          </cell>
          <cell r="F1272">
            <v>513</v>
          </cell>
          <cell r="G1272" t="str">
            <v>D/M</v>
          </cell>
          <cell r="H1272" t="str">
            <v>G160</v>
          </cell>
          <cell r="I1272">
            <v>20</v>
          </cell>
        </row>
        <row r="1273">
          <cell r="C1273" t="str">
            <v>96301VP110</v>
          </cell>
          <cell r="D1273">
            <v>1</v>
          </cell>
          <cell r="E1273">
            <v>0</v>
          </cell>
          <cell r="F1273">
            <v>513</v>
          </cell>
          <cell r="G1273" t="str">
            <v>D/M</v>
          </cell>
          <cell r="H1273" t="str">
            <v>G160</v>
          </cell>
          <cell r="I1273">
            <v>20</v>
          </cell>
        </row>
        <row r="1274">
          <cell r="C1274" t="str">
            <v>96301VP111</v>
          </cell>
          <cell r="D1274">
            <v>1</v>
          </cell>
          <cell r="E1274">
            <v>0</v>
          </cell>
          <cell r="F1274">
            <v>513</v>
          </cell>
          <cell r="G1274" t="str">
            <v>D/M</v>
          </cell>
          <cell r="H1274" t="str">
            <v>G160</v>
          </cell>
          <cell r="I1274">
            <v>20</v>
          </cell>
        </row>
        <row r="1275">
          <cell r="C1275" t="str">
            <v>96301VP112</v>
          </cell>
          <cell r="D1275">
            <v>1</v>
          </cell>
          <cell r="E1275">
            <v>0</v>
          </cell>
          <cell r="F1275">
            <v>513</v>
          </cell>
          <cell r="G1275" t="str">
            <v>D/M</v>
          </cell>
          <cell r="H1275" t="str">
            <v>G160</v>
          </cell>
          <cell r="I1275">
            <v>20</v>
          </cell>
        </row>
        <row r="1276">
          <cell r="C1276" t="str">
            <v>96301VP113</v>
          </cell>
          <cell r="D1276">
            <v>1</v>
          </cell>
          <cell r="E1276">
            <v>0</v>
          </cell>
          <cell r="F1276">
            <v>513</v>
          </cell>
          <cell r="G1276" t="str">
            <v>D/M</v>
          </cell>
          <cell r="H1276" t="str">
            <v>G160</v>
          </cell>
          <cell r="I1276">
            <v>20</v>
          </cell>
        </row>
        <row r="1277">
          <cell r="C1277" t="str">
            <v>96301VP114</v>
          </cell>
          <cell r="D1277">
            <v>1</v>
          </cell>
          <cell r="E1277">
            <v>0</v>
          </cell>
          <cell r="F1277">
            <v>513</v>
          </cell>
          <cell r="G1277" t="str">
            <v>D/M</v>
          </cell>
          <cell r="H1277" t="str">
            <v>G160</v>
          </cell>
          <cell r="I1277">
            <v>20</v>
          </cell>
        </row>
        <row r="1278">
          <cell r="C1278" t="str">
            <v>96301VP115</v>
          </cell>
          <cell r="D1278">
            <v>1</v>
          </cell>
          <cell r="E1278">
            <v>0</v>
          </cell>
          <cell r="F1278">
            <v>513</v>
          </cell>
          <cell r="G1278" t="str">
            <v>D/M</v>
          </cell>
          <cell r="H1278" t="str">
            <v>G160</v>
          </cell>
          <cell r="I1278">
            <v>20</v>
          </cell>
        </row>
        <row r="1279">
          <cell r="C1279" t="str">
            <v>96301VP160</v>
          </cell>
          <cell r="D1279">
            <v>1</v>
          </cell>
          <cell r="E1279">
            <v>1</v>
          </cell>
          <cell r="F1279">
            <v>513</v>
          </cell>
          <cell r="G1279" t="str">
            <v>D/M</v>
          </cell>
          <cell r="H1279" t="str">
            <v>G160</v>
          </cell>
          <cell r="I1279">
            <v>10</v>
          </cell>
        </row>
        <row r="1280">
          <cell r="C1280" t="str">
            <v>96301VP161</v>
          </cell>
          <cell r="D1280">
            <v>1</v>
          </cell>
          <cell r="E1280">
            <v>1</v>
          </cell>
          <cell r="F1280">
            <v>513</v>
          </cell>
          <cell r="G1280" t="str">
            <v>D/M</v>
          </cell>
          <cell r="H1280" t="str">
            <v>G160</v>
          </cell>
          <cell r="I1280">
            <v>10</v>
          </cell>
        </row>
        <row r="1281">
          <cell r="C1281" t="str">
            <v>96301VP162</v>
          </cell>
          <cell r="D1281">
            <v>1</v>
          </cell>
          <cell r="E1281">
            <v>1</v>
          </cell>
          <cell r="F1281">
            <v>513</v>
          </cell>
          <cell r="G1281" t="str">
            <v>D/M</v>
          </cell>
          <cell r="H1281" t="str">
            <v>G160</v>
          </cell>
          <cell r="I1281">
            <v>10</v>
          </cell>
        </row>
        <row r="1282">
          <cell r="C1282" t="str">
            <v>96301VP163</v>
          </cell>
          <cell r="D1282">
            <v>1</v>
          </cell>
          <cell r="E1282">
            <v>1</v>
          </cell>
          <cell r="F1282">
            <v>513</v>
          </cell>
          <cell r="G1282" t="str">
            <v>D/M</v>
          </cell>
          <cell r="H1282" t="str">
            <v>G160</v>
          </cell>
          <cell r="I1282">
            <v>10</v>
          </cell>
        </row>
        <row r="1283">
          <cell r="C1283" t="str">
            <v>96301VP164</v>
          </cell>
          <cell r="D1283">
            <v>1</v>
          </cell>
          <cell r="E1283">
            <v>1</v>
          </cell>
          <cell r="F1283">
            <v>513</v>
          </cell>
          <cell r="G1283" t="str">
            <v>D/M</v>
          </cell>
          <cell r="H1283" t="str">
            <v>G160</v>
          </cell>
          <cell r="I1283">
            <v>10</v>
          </cell>
        </row>
        <row r="1284">
          <cell r="C1284" t="str">
            <v>96301VP165</v>
          </cell>
          <cell r="D1284">
            <v>1</v>
          </cell>
          <cell r="E1284">
            <v>1</v>
          </cell>
          <cell r="F1284">
            <v>513</v>
          </cell>
          <cell r="G1284" t="str">
            <v>D/M</v>
          </cell>
          <cell r="H1284" t="str">
            <v>G160</v>
          </cell>
          <cell r="I1284">
            <v>10</v>
          </cell>
        </row>
        <row r="1285">
          <cell r="C1285" t="str">
            <v>96301VP170</v>
          </cell>
          <cell r="D1285">
            <v>1</v>
          </cell>
          <cell r="E1285">
            <v>0</v>
          </cell>
          <cell r="F1285">
            <v>513</v>
          </cell>
          <cell r="G1285" t="str">
            <v>D/M</v>
          </cell>
          <cell r="H1285" t="str">
            <v>G160</v>
          </cell>
          <cell r="I1285">
            <v>10</v>
          </cell>
        </row>
        <row r="1286">
          <cell r="C1286" t="str">
            <v>96301VP171</v>
          </cell>
          <cell r="D1286">
            <v>1</v>
          </cell>
          <cell r="E1286">
            <v>0</v>
          </cell>
          <cell r="F1286">
            <v>513</v>
          </cell>
          <cell r="G1286" t="str">
            <v>D/M</v>
          </cell>
          <cell r="H1286" t="str">
            <v>G160</v>
          </cell>
          <cell r="I1286">
            <v>10</v>
          </cell>
        </row>
        <row r="1287">
          <cell r="C1287" t="str">
            <v>96301VP172</v>
          </cell>
          <cell r="D1287">
            <v>1</v>
          </cell>
          <cell r="E1287">
            <v>0</v>
          </cell>
          <cell r="F1287">
            <v>513</v>
          </cell>
          <cell r="G1287" t="str">
            <v>D/M</v>
          </cell>
          <cell r="H1287" t="str">
            <v>G160</v>
          </cell>
          <cell r="I1287">
            <v>10</v>
          </cell>
        </row>
        <row r="1288">
          <cell r="C1288" t="str">
            <v>96301VP173</v>
          </cell>
          <cell r="D1288">
            <v>1</v>
          </cell>
          <cell r="E1288">
            <v>0</v>
          </cell>
          <cell r="F1288">
            <v>513</v>
          </cell>
          <cell r="G1288" t="str">
            <v>D/M</v>
          </cell>
          <cell r="H1288" t="str">
            <v>G160</v>
          </cell>
          <cell r="I1288">
            <v>10</v>
          </cell>
        </row>
        <row r="1289">
          <cell r="C1289" t="str">
            <v>96301VP174</v>
          </cell>
          <cell r="D1289">
            <v>1</v>
          </cell>
          <cell r="E1289">
            <v>0</v>
          </cell>
          <cell r="F1289">
            <v>513</v>
          </cell>
          <cell r="G1289" t="str">
            <v>D/M</v>
          </cell>
          <cell r="H1289" t="str">
            <v>G160</v>
          </cell>
          <cell r="I1289">
            <v>10</v>
          </cell>
        </row>
        <row r="1290">
          <cell r="C1290" t="str">
            <v>96301VP175</v>
          </cell>
          <cell r="D1290">
            <v>1</v>
          </cell>
          <cell r="E1290">
            <v>0</v>
          </cell>
          <cell r="F1290">
            <v>513</v>
          </cell>
          <cell r="G1290" t="str">
            <v>D/M</v>
          </cell>
          <cell r="H1290" t="str">
            <v>G160</v>
          </cell>
          <cell r="I1290">
            <v>10</v>
          </cell>
        </row>
        <row r="1291">
          <cell r="C1291" t="str">
            <v>96302VP100</v>
          </cell>
          <cell r="D1291">
            <v>1</v>
          </cell>
          <cell r="E1291">
            <v>0</v>
          </cell>
          <cell r="F1291">
            <v>513</v>
          </cell>
          <cell r="G1291" t="str">
            <v>D/M</v>
          </cell>
          <cell r="H1291" t="str">
            <v>G160</v>
          </cell>
          <cell r="I1291">
            <v>20</v>
          </cell>
        </row>
        <row r="1292">
          <cell r="C1292" t="str">
            <v>96302VP101</v>
          </cell>
          <cell r="D1292">
            <v>1</v>
          </cell>
          <cell r="E1292">
            <v>0</v>
          </cell>
          <cell r="F1292">
            <v>513</v>
          </cell>
          <cell r="G1292" t="str">
            <v>D/M</v>
          </cell>
          <cell r="H1292" t="str">
            <v>G160</v>
          </cell>
          <cell r="I1292">
            <v>20</v>
          </cell>
        </row>
        <row r="1293">
          <cell r="C1293" t="str">
            <v>96302VP102</v>
          </cell>
          <cell r="D1293">
            <v>1</v>
          </cell>
          <cell r="E1293">
            <v>0</v>
          </cell>
          <cell r="F1293">
            <v>513</v>
          </cell>
          <cell r="G1293" t="str">
            <v>D/M</v>
          </cell>
          <cell r="H1293" t="str">
            <v>G160</v>
          </cell>
          <cell r="I1293">
            <v>20</v>
          </cell>
        </row>
        <row r="1294">
          <cell r="C1294" t="str">
            <v>96302VP103</v>
          </cell>
          <cell r="D1294">
            <v>1</v>
          </cell>
          <cell r="E1294">
            <v>0</v>
          </cell>
          <cell r="F1294">
            <v>513</v>
          </cell>
          <cell r="G1294" t="str">
            <v>D/M</v>
          </cell>
          <cell r="H1294" t="str">
            <v>G160</v>
          </cell>
          <cell r="I1294">
            <v>20</v>
          </cell>
        </row>
        <row r="1295">
          <cell r="C1295" t="str">
            <v>96302VP104</v>
          </cell>
          <cell r="D1295">
            <v>1</v>
          </cell>
          <cell r="E1295">
            <v>0</v>
          </cell>
          <cell r="F1295">
            <v>513</v>
          </cell>
          <cell r="G1295" t="str">
            <v>D/M</v>
          </cell>
          <cell r="H1295" t="str">
            <v>G160</v>
          </cell>
          <cell r="I1295">
            <v>20</v>
          </cell>
        </row>
        <row r="1296">
          <cell r="C1296" t="str">
            <v>96302VP105</v>
          </cell>
          <cell r="D1296">
            <v>1</v>
          </cell>
          <cell r="E1296">
            <v>0</v>
          </cell>
          <cell r="F1296">
            <v>513</v>
          </cell>
          <cell r="G1296" t="str">
            <v>D/M</v>
          </cell>
          <cell r="H1296" t="str">
            <v>G160</v>
          </cell>
          <cell r="I1296">
            <v>20</v>
          </cell>
        </row>
        <row r="1297">
          <cell r="C1297" t="str">
            <v>96302VP110</v>
          </cell>
          <cell r="D1297">
            <v>1</v>
          </cell>
          <cell r="E1297">
            <v>0</v>
          </cell>
          <cell r="F1297">
            <v>513</v>
          </cell>
          <cell r="G1297" t="str">
            <v>D/M</v>
          </cell>
          <cell r="H1297" t="str">
            <v>G160</v>
          </cell>
          <cell r="I1297">
            <v>20</v>
          </cell>
        </row>
        <row r="1298">
          <cell r="C1298" t="str">
            <v>96302VP111</v>
          </cell>
          <cell r="D1298">
            <v>1</v>
          </cell>
          <cell r="E1298">
            <v>0</v>
          </cell>
          <cell r="F1298">
            <v>513</v>
          </cell>
          <cell r="G1298" t="str">
            <v>D/M</v>
          </cell>
          <cell r="H1298" t="str">
            <v>G160</v>
          </cell>
          <cell r="I1298">
            <v>20</v>
          </cell>
        </row>
        <row r="1299">
          <cell r="C1299" t="str">
            <v>96302VP112</v>
          </cell>
          <cell r="D1299">
            <v>1</v>
          </cell>
          <cell r="E1299">
            <v>0</v>
          </cell>
          <cell r="F1299">
            <v>513</v>
          </cell>
          <cell r="G1299" t="str">
            <v>D/M</v>
          </cell>
          <cell r="H1299" t="str">
            <v>G160</v>
          </cell>
          <cell r="I1299">
            <v>20</v>
          </cell>
        </row>
        <row r="1300">
          <cell r="C1300" t="str">
            <v>96302VP113</v>
          </cell>
          <cell r="D1300">
            <v>1</v>
          </cell>
          <cell r="E1300">
            <v>0</v>
          </cell>
          <cell r="F1300">
            <v>513</v>
          </cell>
          <cell r="G1300" t="str">
            <v>D/M</v>
          </cell>
          <cell r="H1300" t="str">
            <v>G160</v>
          </cell>
          <cell r="I1300">
            <v>20</v>
          </cell>
        </row>
        <row r="1301">
          <cell r="C1301" t="str">
            <v>96302VP114</v>
          </cell>
          <cell r="D1301">
            <v>1</v>
          </cell>
          <cell r="E1301">
            <v>0</v>
          </cell>
          <cell r="F1301">
            <v>513</v>
          </cell>
          <cell r="G1301" t="str">
            <v>D/M</v>
          </cell>
          <cell r="H1301" t="str">
            <v>G160</v>
          </cell>
          <cell r="I1301">
            <v>20</v>
          </cell>
        </row>
        <row r="1302">
          <cell r="C1302" t="str">
            <v>96302VP115</v>
          </cell>
          <cell r="D1302">
            <v>1</v>
          </cell>
          <cell r="E1302">
            <v>0</v>
          </cell>
          <cell r="F1302">
            <v>513</v>
          </cell>
          <cell r="G1302" t="str">
            <v>D/M</v>
          </cell>
          <cell r="H1302" t="str">
            <v>G160</v>
          </cell>
          <cell r="I1302">
            <v>20</v>
          </cell>
        </row>
        <row r="1303">
          <cell r="C1303" t="str">
            <v>96302VP160</v>
          </cell>
          <cell r="D1303">
            <v>1</v>
          </cell>
          <cell r="E1303">
            <v>1</v>
          </cell>
          <cell r="F1303">
            <v>513</v>
          </cell>
          <cell r="G1303" t="str">
            <v>D/M</v>
          </cell>
          <cell r="H1303" t="str">
            <v>G160</v>
          </cell>
          <cell r="I1303">
            <v>10</v>
          </cell>
        </row>
        <row r="1304">
          <cell r="C1304" t="str">
            <v>96302VP161</v>
          </cell>
          <cell r="D1304">
            <v>1</v>
          </cell>
          <cell r="E1304">
            <v>1</v>
          </cell>
          <cell r="F1304">
            <v>513</v>
          </cell>
          <cell r="G1304" t="str">
            <v>D/M</v>
          </cell>
          <cell r="H1304" t="str">
            <v>G160</v>
          </cell>
          <cell r="I1304">
            <v>10</v>
          </cell>
        </row>
        <row r="1305">
          <cell r="C1305" t="str">
            <v>96302VP162</v>
          </cell>
          <cell r="D1305">
            <v>1</v>
          </cell>
          <cell r="E1305">
            <v>1</v>
          </cell>
          <cell r="F1305">
            <v>513</v>
          </cell>
          <cell r="G1305" t="str">
            <v>D/M</v>
          </cell>
          <cell r="H1305" t="str">
            <v>G160</v>
          </cell>
          <cell r="I1305">
            <v>10</v>
          </cell>
        </row>
        <row r="1306">
          <cell r="C1306" t="str">
            <v>96302VP163</v>
          </cell>
          <cell r="D1306">
            <v>1</v>
          </cell>
          <cell r="E1306">
            <v>1</v>
          </cell>
          <cell r="F1306">
            <v>513</v>
          </cell>
          <cell r="G1306" t="str">
            <v>D/M</v>
          </cell>
          <cell r="H1306" t="str">
            <v>G160</v>
          </cell>
          <cell r="I1306">
            <v>10</v>
          </cell>
        </row>
        <row r="1307">
          <cell r="C1307" t="str">
            <v>96302VP164</v>
          </cell>
          <cell r="D1307">
            <v>1</v>
          </cell>
          <cell r="E1307">
            <v>1</v>
          </cell>
          <cell r="F1307">
            <v>513</v>
          </cell>
          <cell r="G1307" t="str">
            <v>D/M</v>
          </cell>
          <cell r="H1307" t="str">
            <v>G160</v>
          </cell>
          <cell r="I1307">
            <v>10</v>
          </cell>
        </row>
        <row r="1308">
          <cell r="C1308" t="str">
            <v>96302VP165</v>
          </cell>
          <cell r="D1308">
            <v>1</v>
          </cell>
          <cell r="E1308">
            <v>1</v>
          </cell>
          <cell r="F1308">
            <v>513</v>
          </cell>
          <cell r="G1308" t="str">
            <v>D/M</v>
          </cell>
          <cell r="H1308" t="str">
            <v>G160</v>
          </cell>
          <cell r="I1308">
            <v>10</v>
          </cell>
        </row>
        <row r="1309">
          <cell r="C1309" t="str">
            <v>96302VP170</v>
          </cell>
          <cell r="D1309">
            <v>1</v>
          </cell>
          <cell r="E1309">
            <v>0</v>
          </cell>
          <cell r="F1309">
            <v>513</v>
          </cell>
          <cell r="G1309" t="str">
            <v>D/M</v>
          </cell>
          <cell r="H1309" t="str">
            <v>G160</v>
          </cell>
          <cell r="I1309">
            <v>10</v>
          </cell>
        </row>
        <row r="1310">
          <cell r="C1310" t="str">
            <v>96302VP171</v>
          </cell>
          <cell r="D1310">
            <v>1</v>
          </cell>
          <cell r="E1310">
            <v>0</v>
          </cell>
          <cell r="F1310">
            <v>513</v>
          </cell>
          <cell r="G1310" t="str">
            <v>D/M</v>
          </cell>
          <cell r="H1310" t="str">
            <v>G160</v>
          </cell>
          <cell r="I1310">
            <v>10</v>
          </cell>
        </row>
        <row r="1311">
          <cell r="C1311" t="str">
            <v>96302VP172</v>
          </cell>
          <cell r="D1311">
            <v>1</v>
          </cell>
          <cell r="E1311">
            <v>0</v>
          </cell>
          <cell r="F1311">
            <v>513</v>
          </cell>
          <cell r="G1311" t="str">
            <v>D/M</v>
          </cell>
          <cell r="H1311" t="str">
            <v>G160</v>
          </cell>
          <cell r="I1311">
            <v>10</v>
          </cell>
        </row>
        <row r="1312">
          <cell r="C1312" t="str">
            <v>96302VP173</v>
          </cell>
          <cell r="D1312">
            <v>1</v>
          </cell>
          <cell r="E1312">
            <v>0</v>
          </cell>
          <cell r="F1312">
            <v>513</v>
          </cell>
          <cell r="G1312" t="str">
            <v>D/M</v>
          </cell>
          <cell r="H1312" t="str">
            <v>G160</v>
          </cell>
          <cell r="I1312">
            <v>10</v>
          </cell>
        </row>
        <row r="1313">
          <cell r="C1313" t="str">
            <v>96302VP174</v>
          </cell>
          <cell r="D1313">
            <v>1</v>
          </cell>
          <cell r="E1313">
            <v>0</v>
          </cell>
          <cell r="F1313">
            <v>513</v>
          </cell>
          <cell r="G1313" t="str">
            <v>D/M</v>
          </cell>
          <cell r="H1313" t="str">
            <v>G160</v>
          </cell>
          <cell r="I1313">
            <v>10</v>
          </cell>
        </row>
        <row r="1314">
          <cell r="C1314" t="str">
            <v>96302VP175</v>
          </cell>
          <cell r="D1314">
            <v>1</v>
          </cell>
          <cell r="E1314">
            <v>0</v>
          </cell>
          <cell r="F1314">
            <v>513</v>
          </cell>
          <cell r="G1314" t="str">
            <v>D/M</v>
          </cell>
          <cell r="H1314" t="str">
            <v>G160</v>
          </cell>
          <cell r="I1314">
            <v>10</v>
          </cell>
        </row>
        <row r="1315">
          <cell r="C1315" t="str">
            <v>9632130P00</v>
          </cell>
          <cell r="D1315">
            <v>3</v>
          </cell>
          <cell r="E1315">
            <v>0</v>
          </cell>
          <cell r="F1315">
            <v>563</v>
          </cell>
          <cell r="G1315" t="str">
            <v>I/M</v>
          </cell>
          <cell r="H1315">
            <v>0</v>
          </cell>
          <cell r="I1315">
            <v>50</v>
          </cell>
        </row>
        <row r="1316">
          <cell r="C1316" t="str">
            <v>9632954E02</v>
          </cell>
          <cell r="D1316">
            <v>3</v>
          </cell>
          <cell r="E1316">
            <v>0</v>
          </cell>
          <cell r="F1316">
            <v>563</v>
          </cell>
          <cell r="G1316" t="str">
            <v>C0VER</v>
          </cell>
          <cell r="H1316">
            <v>0</v>
          </cell>
          <cell r="I1316">
            <v>50</v>
          </cell>
        </row>
        <row r="1317">
          <cell r="C1317" t="str">
            <v>260109V010</v>
          </cell>
          <cell r="D1317">
            <v>2</v>
          </cell>
          <cell r="E1317">
            <v>0</v>
          </cell>
          <cell r="F1317">
            <v>151</v>
          </cell>
          <cell r="G1317" t="str">
            <v>H/L</v>
          </cell>
          <cell r="H1317" t="str">
            <v>A190</v>
          </cell>
          <cell r="I1317">
            <v>20</v>
          </cell>
        </row>
        <row r="1318">
          <cell r="C1318" t="str">
            <v>260609V010</v>
          </cell>
          <cell r="D1318">
            <v>2</v>
          </cell>
          <cell r="E1318">
            <v>0</v>
          </cell>
          <cell r="F1318">
            <v>151</v>
          </cell>
          <cell r="G1318" t="str">
            <v>H/L</v>
          </cell>
          <cell r="H1318" t="str">
            <v>A190</v>
          </cell>
          <cell r="I1318">
            <v>20</v>
          </cell>
        </row>
        <row r="1319">
          <cell r="C1319" t="str">
            <v>261809V010</v>
          </cell>
          <cell r="D1319">
            <v>1</v>
          </cell>
          <cell r="E1319">
            <v>0</v>
          </cell>
          <cell r="F1319">
            <v>415</v>
          </cell>
          <cell r="G1319" t="str">
            <v>SM/L</v>
          </cell>
          <cell r="H1319" t="str">
            <v>B210</v>
          </cell>
          <cell r="I1319">
            <v>40</v>
          </cell>
        </row>
        <row r="1320">
          <cell r="C1320" t="str">
            <v>26410WJ600</v>
          </cell>
          <cell r="D1320">
            <v>3</v>
          </cell>
          <cell r="E1320">
            <v>0</v>
          </cell>
          <cell r="F1320">
            <v>415</v>
          </cell>
          <cell r="G1320" t="str">
            <v>R/L</v>
          </cell>
          <cell r="H1320" t="str">
            <v>D100</v>
          </cell>
          <cell r="I1320">
            <v>100</v>
          </cell>
        </row>
        <row r="1321">
          <cell r="C1321" t="str">
            <v>26410WJ700</v>
          </cell>
          <cell r="D1321">
            <v>3</v>
          </cell>
          <cell r="E1321">
            <v>0</v>
          </cell>
          <cell r="F1321">
            <v>415</v>
          </cell>
          <cell r="G1321" t="str">
            <v>R/L</v>
          </cell>
          <cell r="H1321" t="str">
            <v>D100</v>
          </cell>
          <cell r="I1321">
            <v>100</v>
          </cell>
        </row>
        <row r="1322">
          <cell r="C1322" t="str">
            <v>26420WJ100</v>
          </cell>
          <cell r="D1322">
            <v>3</v>
          </cell>
          <cell r="E1322">
            <v>0</v>
          </cell>
          <cell r="F1322">
            <v>415</v>
          </cell>
          <cell r="G1322" t="str">
            <v>STEP/L</v>
          </cell>
          <cell r="H1322" t="str">
            <v>E000</v>
          </cell>
          <cell r="I1322">
            <v>100</v>
          </cell>
        </row>
        <row r="1323">
          <cell r="C1323" t="str">
            <v>26420WJ600</v>
          </cell>
          <cell r="D1323">
            <v>3</v>
          </cell>
          <cell r="E1323">
            <v>0</v>
          </cell>
          <cell r="F1323">
            <v>415</v>
          </cell>
          <cell r="G1323" t="str">
            <v>STEP/L</v>
          </cell>
          <cell r="H1323" t="str">
            <v>E000</v>
          </cell>
          <cell r="I1323">
            <v>100</v>
          </cell>
        </row>
        <row r="1324">
          <cell r="C1324" t="str">
            <v>26440WJ400</v>
          </cell>
          <cell r="D1324">
            <v>3</v>
          </cell>
          <cell r="E1324">
            <v>0</v>
          </cell>
          <cell r="F1324">
            <v>415</v>
          </cell>
          <cell r="G1324" t="str">
            <v>EMERG</v>
          </cell>
          <cell r="H1324" t="str">
            <v>D100</v>
          </cell>
          <cell r="I1324">
            <v>100</v>
          </cell>
        </row>
        <row r="1325">
          <cell r="C1325" t="str">
            <v>26470WJ500</v>
          </cell>
          <cell r="D1325">
            <v>3</v>
          </cell>
          <cell r="E1325">
            <v>0</v>
          </cell>
          <cell r="F1325">
            <v>415</v>
          </cell>
          <cell r="G1325" t="str">
            <v>T.R/L</v>
          </cell>
          <cell r="H1325" t="str">
            <v>E090</v>
          </cell>
          <cell r="I1325">
            <v>100</v>
          </cell>
        </row>
        <row r="1326">
          <cell r="C1326" t="str">
            <v>26470WJ600</v>
          </cell>
          <cell r="D1326">
            <v>3</v>
          </cell>
          <cell r="E1326">
            <v>0</v>
          </cell>
          <cell r="F1326">
            <v>415</v>
          </cell>
          <cell r="G1326" t="str">
            <v>T.R/L</v>
          </cell>
          <cell r="H1326" t="str">
            <v>E090</v>
          </cell>
          <cell r="I1326">
            <v>100</v>
          </cell>
        </row>
        <row r="1327">
          <cell r="C1327" t="str">
            <v>26510WJ100</v>
          </cell>
          <cell r="D1327">
            <v>3</v>
          </cell>
          <cell r="E1327">
            <v>0</v>
          </cell>
          <cell r="F1327">
            <v>415</v>
          </cell>
          <cell r="G1327" t="str">
            <v>L/L</v>
          </cell>
          <cell r="H1327" t="str">
            <v>D000</v>
          </cell>
          <cell r="I1327">
            <v>100</v>
          </cell>
        </row>
        <row r="1328">
          <cell r="C1328" t="str">
            <v>26510WJ600</v>
          </cell>
          <cell r="D1328">
            <v>3</v>
          </cell>
          <cell r="E1328">
            <v>0</v>
          </cell>
          <cell r="F1328">
            <v>415</v>
          </cell>
          <cell r="G1328" t="str">
            <v>L/L</v>
          </cell>
          <cell r="H1328" t="str">
            <v>D000</v>
          </cell>
          <cell r="I1328">
            <v>100</v>
          </cell>
        </row>
        <row r="1329">
          <cell r="C1329" t="str">
            <v>26510WJ601</v>
          </cell>
          <cell r="D1329">
            <v>3</v>
          </cell>
          <cell r="E1329">
            <v>0</v>
          </cell>
          <cell r="F1329">
            <v>415</v>
          </cell>
          <cell r="G1329" t="str">
            <v>L/L</v>
          </cell>
          <cell r="H1329" t="str">
            <v>D000</v>
          </cell>
          <cell r="I1329">
            <v>100</v>
          </cell>
        </row>
        <row r="1330">
          <cell r="C1330" t="str">
            <v>26510WJ700</v>
          </cell>
          <cell r="D1330">
            <v>3</v>
          </cell>
          <cell r="E1330">
            <v>0</v>
          </cell>
          <cell r="F1330">
            <v>415</v>
          </cell>
          <cell r="G1330" t="str">
            <v>L/L</v>
          </cell>
          <cell r="H1330" t="str">
            <v>D000</v>
          </cell>
          <cell r="I1330">
            <v>100</v>
          </cell>
        </row>
        <row r="1331">
          <cell r="C1331" t="str">
            <v>26550WJ100</v>
          </cell>
          <cell r="D1331">
            <v>1</v>
          </cell>
          <cell r="E1331">
            <v>0</v>
          </cell>
          <cell r="F1331">
            <v>214</v>
          </cell>
          <cell r="G1331" t="str">
            <v>RC/L</v>
          </cell>
          <cell r="H1331" t="str">
            <v>B000</v>
          </cell>
          <cell r="I1331">
            <v>100</v>
          </cell>
        </row>
        <row r="1332">
          <cell r="C1332" t="str">
            <v>26550WJ600</v>
          </cell>
          <cell r="D1332">
            <v>1</v>
          </cell>
          <cell r="E1332">
            <v>0</v>
          </cell>
          <cell r="F1332">
            <v>214</v>
          </cell>
          <cell r="G1332" t="str">
            <v>RC/L</v>
          </cell>
          <cell r="H1332" t="str">
            <v>B000</v>
          </cell>
          <cell r="I1332">
            <v>100</v>
          </cell>
        </row>
        <row r="1333">
          <cell r="C1333" t="str">
            <v>26555WJ100</v>
          </cell>
          <cell r="D1333">
            <v>1</v>
          </cell>
          <cell r="E1333">
            <v>0</v>
          </cell>
          <cell r="F1333">
            <v>214</v>
          </cell>
          <cell r="G1333" t="str">
            <v>RC/L</v>
          </cell>
          <cell r="H1333" t="str">
            <v>B000</v>
          </cell>
          <cell r="I1333">
            <v>100</v>
          </cell>
        </row>
        <row r="1334">
          <cell r="C1334" t="str">
            <v>26555WJ600</v>
          </cell>
          <cell r="D1334">
            <v>1</v>
          </cell>
          <cell r="E1334">
            <v>0</v>
          </cell>
          <cell r="F1334">
            <v>214</v>
          </cell>
          <cell r="G1334" t="str">
            <v>RC/L</v>
          </cell>
          <cell r="H1334" t="str">
            <v>B000</v>
          </cell>
          <cell r="I1334">
            <v>100</v>
          </cell>
        </row>
        <row r="1335">
          <cell r="C1335" t="str">
            <v>26555WJ600</v>
          </cell>
          <cell r="D1335">
            <v>1</v>
          </cell>
          <cell r="E1335">
            <v>0</v>
          </cell>
          <cell r="F1335">
            <v>214</v>
          </cell>
          <cell r="G1335" t="str">
            <v>RC/L</v>
          </cell>
          <cell r="H1335" t="str">
            <v>B000</v>
          </cell>
          <cell r="I1335">
            <v>100</v>
          </cell>
        </row>
        <row r="1336">
          <cell r="C1336" t="str">
            <v>26590WJ100</v>
          </cell>
          <cell r="D1336">
            <v>1</v>
          </cell>
          <cell r="E1336">
            <v>0</v>
          </cell>
          <cell r="F1336">
            <v>414</v>
          </cell>
          <cell r="G1336" t="str">
            <v>HMS/L</v>
          </cell>
          <cell r="H1336" t="str">
            <v>B500</v>
          </cell>
          <cell r="I1336">
            <v>50</v>
          </cell>
        </row>
        <row r="1337">
          <cell r="C1337" t="str">
            <v>26982WJ100</v>
          </cell>
          <cell r="D1337">
            <v>1</v>
          </cell>
          <cell r="E1337">
            <v>0</v>
          </cell>
          <cell r="F1337">
            <v>414</v>
          </cell>
          <cell r="G1337" t="str">
            <v>BRKT</v>
          </cell>
          <cell r="H1337" t="str">
            <v>B509</v>
          </cell>
          <cell r="I1337">
            <v>50</v>
          </cell>
        </row>
        <row r="1338">
          <cell r="C1338" t="str">
            <v>2888250J00</v>
          </cell>
          <cell r="D1338">
            <v>3</v>
          </cell>
          <cell r="E1338">
            <v>0</v>
          </cell>
          <cell r="F1338">
            <v>714</v>
          </cell>
          <cell r="G1338" t="str">
            <v>W/AC</v>
          </cell>
          <cell r="H1338">
            <v>0</v>
          </cell>
          <cell r="I1338">
            <v>200</v>
          </cell>
        </row>
        <row r="1339">
          <cell r="C1339" t="str">
            <v>829602S400</v>
          </cell>
          <cell r="D1339">
            <v>3</v>
          </cell>
          <cell r="E1339">
            <v>0</v>
          </cell>
          <cell r="F1339">
            <v>644</v>
          </cell>
          <cell r="G1339" t="str">
            <v>A/T</v>
          </cell>
          <cell r="H1339">
            <v>0</v>
          </cell>
          <cell r="I1339">
            <v>400</v>
          </cell>
        </row>
        <row r="1340">
          <cell r="C1340" t="str">
            <v>82960U0100</v>
          </cell>
          <cell r="D1340">
            <v>3</v>
          </cell>
          <cell r="E1340">
            <v>0</v>
          </cell>
          <cell r="F1340">
            <v>644</v>
          </cell>
          <cell r="G1340" t="str">
            <v>A/T</v>
          </cell>
          <cell r="H1340">
            <v>0</v>
          </cell>
          <cell r="I1340">
            <v>600</v>
          </cell>
        </row>
        <row r="1341">
          <cell r="C1341" t="str">
            <v>96301WJ110</v>
          </cell>
          <cell r="D1341">
            <v>3</v>
          </cell>
          <cell r="E1341">
            <v>0</v>
          </cell>
          <cell r="F1341">
            <v>513</v>
          </cell>
          <cell r="G1341" t="str">
            <v>D/M</v>
          </cell>
          <cell r="H1341" t="str">
            <v>G160</v>
          </cell>
          <cell r="I1341">
            <v>100</v>
          </cell>
        </row>
        <row r="1342">
          <cell r="C1342" t="str">
            <v>96301WJ120</v>
          </cell>
          <cell r="D1342">
            <v>2</v>
          </cell>
          <cell r="E1342">
            <v>0</v>
          </cell>
          <cell r="F1342">
            <v>513</v>
          </cell>
          <cell r="G1342" t="str">
            <v>D/M</v>
          </cell>
          <cell r="H1342" t="str">
            <v>G230</v>
          </cell>
          <cell r="I1342">
            <v>100</v>
          </cell>
        </row>
        <row r="1343">
          <cell r="C1343" t="str">
            <v>96301WJ601</v>
          </cell>
          <cell r="D1343">
            <v>1</v>
          </cell>
          <cell r="E1343">
            <v>0</v>
          </cell>
          <cell r="F1343">
            <v>513</v>
          </cell>
          <cell r="G1343" t="str">
            <v>0/M</v>
          </cell>
          <cell r="H1343" t="str">
            <v>G160</v>
          </cell>
          <cell r="I1343">
            <v>5</v>
          </cell>
        </row>
        <row r="1344">
          <cell r="C1344" t="str">
            <v>96302WJ110</v>
          </cell>
          <cell r="D1344">
            <v>1</v>
          </cell>
          <cell r="E1344">
            <v>0</v>
          </cell>
          <cell r="F1344">
            <v>513</v>
          </cell>
          <cell r="G1344" t="str">
            <v>D/M</v>
          </cell>
          <cell r="H1344" t="str">
            <v>G160</v>
          </cell>
          <cell r="I1344">
            <v>100</v>
          </cell>
        </row>
        <row r="1345">
          <cell r="C1345" t="str">
            <v>96302WJ120</v>
          </cell>
          <cell r="D1345">
            <v>2</v>
          </cell>
          <cell r="E1345">
            <v>0</v>
          </cell>
          <cell r="F1345">
            <v>513</v>
          </cell>
          <cell r="G1345" t="str">
            <v>D/M</v>
          </cell>
          <cell r="H1345" t="str">
            <v>G230</v>
          </cell>
          <cell r="I1345">
            <v>100</v>
          </cell>
        </row>
        <row r="1346">
          <cell r="C1346" t="str">
            <v>96302WJ601</v>
          </cell>
          <cell r="D1346">
            <v>1</v>
          </cell>
          <cell r="E1346">
            <v>0</v>
          </cell>
          <cell r="F1346">
            <v>513</v>
          </cell>
          <cell r="G1346" t="str">
            <v>0/M</v>
          </cell>
          <cell r="H1346" t="str">
            <v>G160</v>
          </cell>
          <cell r="I1346">
            <v>5</v>
          </cell>
        </row>
        <row r="1347">
          <cell r="C1347" t="str">
            <v>96340WJ700</v>
          </cell>
          <cell r="D1347">
            <v>2</v>
          </cell>
          <cell r="E1347">
            <v>0</v>
          </cell>
          <cell r="F1347">
            <v>513</v>
          </cell>
          <cell r="G1347" t="str">
            <v>RRU/M</v>
          </cell>
          <cell r="H1347" t="str">
            <v>G020</v>
          </cell>
          <cell r="I1347">
            <v>100</v>
          </cell>
        </row>
        <row r="1348">
          <cell r="C1348" t="str">
            <v>96510S9001</v>
          </cell>
          <cell r="D1348">
            <v>3</v>
          </cell>
          <cell r="E1348">
            <v>0</v>
          </cell>
          <cell r="F1348">
            <v>644</v>
          </cell>
          <cell r="G1348" t="str">
            <v>A/T</v>
          </cell>
          <cell r="H1348">
            <v>0</v>
          </cell>
          <cell r="I1348">
            <v>100</v>
          </cell>
        </row>
        <row r="1349">
          <cell r="C1349" t="str">
            <v>96510WJ100</v>
          </cell>
          <cell r="D1349">
            <v>1</v>
          </cell>
          <cell r="E1349">
            <v>0</v>
          </cell>
          <cell r="F1349">
            <v>644</v>
          </cell>
          <cell r="G1349" t="str">
            <v>A/T</v>
          </cell>
          <cell r="H1349" t="str">
            <v>L010</v>
          </cell>
          <cell r="I1349">
            <v>50</v>
          </cell>
        </row>
        <row r="1350">
          <cell r="C1350" t="str">
            <v>260106L000</v>
          </cell>
          <cell r="D1350">
            <v>3</v>
          </cell>
          <cell r="E1350">
            <v>0</v>
          </cell>
          <cell r="F1350">
            <v>151</v>
          </cell>
          <cell r="G1350" t="str">
            <v>H/L</v>
          </cell>
          <cell r="H1350">
            <v>0</v>
          </cell>
          <cell r="I1350">
            <v>0</v>
          </cell>
        </row>
        <row r="1351">
          <cell r="C1351" t="str">
            <v>260106L010</v>
          </cell>
          <cell r="D1351">
            <v>3</v>
          </cell>
          <cell r="E1351">
            <v>0</v>
          </cell>
          <cell r="F1351">
            <v>151</v>
          </cell>
          <cell r="G1351" t="str">
            <v>H/L</v>
          </cell>
          <cell r="H1351" t="str">
            <v>A400</v>
          </cell>
          <cell r="I1351">
            <v>60</v>
          </cell>
        </row>
        <row r="1352">
          <cell r="C1352" t="str">
            <v>260606L000</v>
          </cell>
          <cell r="D1352">
            <v>3</v>
          </cell>
          <cell r="E1352">
            <v>0</v>
          </cell>
          <cell r="F1352">
            <v>151</v>
          </cell>
          <cell r="G1352" t="str">
            <v>H/L</v>
          </cell>
          <cell r="H1352">
            <v>0</v>
          </cell>
          <cell r="I1352">
            <v>0</v>
          </cell>
        </row>
        <row r="1353">
          <cell r="C1353" t="str">
            <v>260606L010</v>
          </cell>
          <cell r="D1353">
            <v>3</v>
          </cell>
          <cell r="E1353">
            <v>0</v>
          </cell>
          <cell r="F1353">
            <v>151</v>
          </cell>
          <cell r="G1353" t="str">
            <v>H/L</v>
          </cell>
          <cell r="H1353" t="str">
            <v>A400</v>
          </cell>
          <cell r="I1353">
            <v>60</v>
          </cell>
        </row>
        <row r="1354">
          <cell r="C1354" t="str">
            <v>261358L000</v>
          </cell>
          <cell r="D1354">
            <v>1</v>
          </cell>
          <cell r="E1354">
            <v>0</v>
          </cell>
          <cell r="F1354">
            <v>415</v>
          </cell>
          <cell r="G1354" t="str">
            <v>FR/L</v>
          </cell>
          <cell r="H1354" t="str">
            <v>B110</v>
          </cell>
          <cell r="I1354">
            <v>1600</v>
          </cell>
        </row>
        <row r="1355">
          <cell r="C1355" t="str">
            <v>963015L311</v>
          </cell>
          <cell r="D1355">
            <v>1</v>
          </cell>
          <cell r="E1355">
            <v>0</v>
          </cell>
          <cell r="F1355">
            <v>513</v>
          </cell>
          <cell r="G1355" t="str">
            <v>D/M</v>
          </cell>
          <cell r="H1355" t="str">
            <v>G160</v>
          </cell>
          <cell r="I1355">
            <v>30</v>
          </cell>
        </row>
        <row r="1356">
          <cell r="C1356" t="str">
            <v>963015L711</v>
          </cell>
          <cell r="D1356">
            <v>1</v>
          </cell>
          <cell r="E1356">
            <v>0</v>
          </cell>
          <cell r="F1356">
            <v>513</v>
          </cell>
          <cell r="G1356" t="str">
            <v>D/M</v>
          </cell>
          <cell r="H1356" t="str">
            <v>G230</v>
          </cell>
          <cell r="I1356">
            <v>30</v>
          </cell>
        </row>
        <row r="1357">
          <cell r="C1357" t="str">
            <v>963025L311</v>
          </cell>
          <cell r="D1357">
            <v>1</v>
          </cell>
          <cell r="E1357">
            <v>0</v>
          </cell>
          <cell r="F1357">
            <v>513</v>
          </cell>
          <cell r="G1357" t="str">
            <v>D/M</v>
          </cell>
          <cell r="H1357" t="str">
            <v>G160</v>
          </cell>
          <cell r="I1357">
            <v>30</v>
          </cell>
        </row>
        <row r="1358">
          <cell r="C1358" t="str">
            <v>963025L711</v>
          </cell>
          <cell r="D1358">
            <v>1</v>
          </cell>
          <cell r="E1358">
            <v>0</v>
          </cell>
          <cell r="F1358">
            <v>513</v>
          </cell>
          <cell r="G1358" t="str">
            <v>D/M</v>
          </cell>
          <cell r="H1358" t="str">
            <v>G230</v>
          </cell>
          <cell r="I1358">
            <v>30</v>
          </cell>
        </row>
        <row r="1359">
          <cell r="C1359" t="str">
            <v>96321R34A0</v>
          </cell>
          <cell r="D1359">
            <v>2</v>
          </cell>
          <cell r="E1359">
            <v>0</v>
          </cell>
          <cell r="F1359">
            <v>563</v>
          </cell>
          <cell r="G1359" t="str">
            <v>1/M</v>
          </cell>
          <cell r="H1359" t="str">
            <v>H100</v>
          </cell>
          <cell r="I1359">
            <v>100</v>
          </cell>
        </row>
        <row r="1360">
          <cell r="C1360" t="str">
            <v>26010VU200</v>
          </cell>
          <cell r="D1360">
            <v>1</v>
          </cell>
          <cell r="E1360">
            <v>0</v>
          </cell>
          <cell r="F1360">
            <v>151</v>
          </cell>
          <cell r="G1360" t="str">
            <v>H/L</v>
          </cell>
          <cell r="H1360" t="str">
            <v>A190</v>
          </cell>
          <cell r="I1360">
            <v>300</v>
          </cell>
        </row>
        <row r="1361">
          <cell r="C1361" t="str">
            <v>26010VU210</v>
          </cell>
          <cell r="D1361">
            <v>1</v>
          </cell>
          <cell r="E1361">
            <v>0</v>
          </cell>
          <cell r="F1361">
            <v>151</v>
          </cell>
          <cell r="G1361" t="str">
            <v>H/L</v>
          </cell>
          <cell r="H1361" t="str">
            <v>A190</v>
          </cell>
          <cell r="I1361">
            <v>200</v>
          </cell>
        </row>
        <row r="1362">
          <cell r="C1362" t="str">
            <v>26060VU200</v>
          </cell>
          <cell r="D1362">
            <v>1</v>
          </cell>
          <cell r="E1362">
            <v>0</v>
          </cell>
          <cell r="F1362">
            <v>151</v>
          </cell>
          <cell r="G1362" t="str">
            <v>H/L</v>
          </cell>
          <cell r="H1362" t="str">
            <v>A190</v>
          </cell>
          <cell r="I1362">
            <v>300</v>
          </cell>
        </row>
        <row r="1363">
          <cell r="C1363" t="str">
            <v>26060VU210</v>
          </cell>
          <cell r="D1363">
            <v>1</v>
          </cell>
          <cell r="E1363">
            <v>0</v>
          </cell>
          <cell r="F1363">
            <v>151</v>
          </cell>
          <cell r="G1363" t="str">
            <v>H/L</v>
          </cell>
          <cell r="H1363" t="str">
            <v>A190</v>
          </cell>
          <cell r="I1363">
            <v>200</v>
          </cell>
        </row>
        <row r="1364">
          <cell r="C1364" t="str">
            <v>26430VU300</v>
          </cell>
          <cell r="D1364">
            <v>1</v>
          </cell>
          <cell r="E1364">
            <v>0</v>
          </cell>
          <cell r="F1364">
            <v>415</v>
          </cell>
          <cell r="G1364" t="str">
            <v>MAP/L</v>
          </cell>
          <cell r="H1364" t="str">
            <v>D100</v>
          </cell>
          <cell r="I1364">
            <v>600</v>
          </cell>
        </row>
        <row r="1365">
          <cell r="C1365" t="str">
            <v>96301VU200</v>
          </cell>
          <cell r="D1365">
            <v>2</v>
          </cell>
          <cell r="E1365">
            <v>0</v>
          </cell>
          <cell r="F1365">
            <v>513</v>
          </cell>
          <cell r="G1365" t="str">
            <v>DD/M</v>
          </cell>
          <cell r="H1365" t="str">
            <v>G160</v>
          </cell>
          <cell r="I1365">
            <v>100</v>
          </cell>
        </row>
        <row r="1366">
          <cell r="C1366" t="str">
            <v>96301VU260</v>
          </cell>
          <cell r="D1366">
            <v>2</v>
          </cell>
          <cell r="E1366">
            <v>0</v>
          </cell>
          <cell r="F1366">
            <v>513</v>
          </cell>
          <cell r="G1366" t="str">
            <v>DD/M</v>
          </cell>
          <cell r="H1366" t="str">
            <v>G160</v>
          </cell>
          <cell r="I1366">
            <v>100</v>
          </cell>
        </row>
        <row r="1367">
          <cell r="C1367" t="str">
            <v>96302VU200</v>
          </cell>
          <cell r="D1367">
            <v>2</v>
          </cell>
          <cell r="E1367">
            <v>0</v>
          </cell>
          <cell r="F1367">
            <v>513</v>
          </cell>
          <cell r="G1367" t="str">
            <v>DD/M</v>
          </cell>
          <cell r="H1367" t="str">
            <v>G160</v>
          </cell>
          <cell r="I1367">
            <v>100</v>
          </cell>
        </row>
        <row r="1368">
          <cell r="C1368" t="str">
            <v>96302VU260</v>
          </cell>
          <cell r="D1368">
            <v>2</v>
          </cell>
          <cell r="E1368">
            <v>0</v>
          </cell>
          <cell r="F1368">
            <v>513</v>
          </cell>
          <cell r="G1368" t="str">
            <v>DD/M</v>
          </cell>
          <cell r="H1368" t="str">
            <v>G160</v>
          </cell>
          <cell r="I1368">
            <v>100</v>
          </cell>
        </row>
        <row r="1369">
          <cell r="C1369" t="str">
            <v>96310VU300</v>
          </cell>
          <cell r="D1369">
            <v>1</v>
          </cell>
          <cell r="E1369">
            <v>0</v>
          </cell>
          <cell r="F1369">
            <v>513</v>
          </cell>
          <cell r="G1369" t="str">
            <v>STAY</v>
          </cell>
          <cell r="H1369" t="str">
            <v>G019</v>
          </cell>
          <cell r="I1369">
            <v>60</v>
          </cell>
        </row>
        <row r="1370">
          <cell r="C1370" t="str">
            <v>96310VU310</v>
          </cell>
          <cell r="D1370">
            <v>1</v>
          </cell>
          <cell r="E1370">
            <v>0</v>
          </cell>
          <cell r="F1370">
            <v>513</v>
          </cell>
          <cell r="G1370" t="str">
            <v>STAY</v>
          </cell>
          <cell r="H1370" t="str">
            <v>G059</v>
          </cell>
          <cell r="I1370">
            <v>150</v>
          </cell>
        </row>
        <row r="1371">
          <cell r="C1371" t="str">
            <v>96310VU320</v>
          </cell>
          <cell r="D1371">
            <v>1</v>
          </cell>
          <cell r="E1371">
            <v>0</v>
          </cell>
          <cell r="F1371">
            <v>513</v>
          </cell>
          <cell r="G1371" t="str">
            <v>STAY</v>
          </cell>
          <cell r="H1371" t="str">
            <v>G059</v>
          </cell>
          <cell r="I1371">
            <v>10</v>
          </cell>
        </row>
        <row r="1372">
          <cell r="C1372" t="str">
            <v>96310VU360</v>
          </cell>
          <cell r="D1372">
            <v>1</v>
          </cell>
          <cell r="E1372">
            <v>0</v>
          </cell>
          <cell r="F1372">
            <v>513</v>
          </cell>
          <cell r="G1372" t="str">
            <v>STAY</v>
          </cell>
          <cell r="H1372" t="str">
            <v>G059</v>
          </cell>
          <cell r="I1372">
            <v>80</v>
          </cell>
        </row>
        <row r="1373">
          <cell r="C1373" t="str">
            <v>96310VU370</v>
          </cell>
          <cell r="D1373">
            <v>1</v>
          </cell>
          <cell r="E1373">
            <v>0</v>
          </cell>
          <cell r="F1373">
            <v>513</v>
          </cell>
          <cell r="G1373" t="str">
            <v>STAY</v>
          </cell>
          <cell r="H1373" t="str">
            <v>G059</v>
          </cell>
          <cell r="I1373">
            <v>5</v>
          </cell>
        </row>
        <row r="1374">
          <cell r="C1374" t="str">
            <v>96311VU300</v>
          </cell>
          <cell r="D1374">
            <v>1</v>
          </cell>
          <cell r="E1374">
            <v>0</v>
          </cell>
          <cell r="F1374">
            <v>513</v>
          </cell>
          <cell r="G1374" t="str">
            <v>STAY</v>
          </cell>
          <cell r="H1374" t="str">
            <v>G019</v>
          </cell>
          <cell r="I1374">
            <v>60</v>
          </cell>
        </row>
        <row r="1375">
          <cell r="C1375" t="str">
            <v>96311VU310</v>
          </cell>
          <cell r="D1375">
            <v>1</v>
          </cell>
          <cell r="E1375">
            <v>0</v>
          </cell>
          <cell r="F1375">
            <v>513</v>
          </cell>
          <cell r="G1375" t="str">
            <v>STAY</v>
          </cell>
          <cell r="H1375" t="str">
            <v>G059</v>
          </cell>
          <cell r="I1375">
            <v>150</v>
          </cell>
        </row>
        <row r="1376">
          <cell r="C1376" t="str">
            <v>96311VU320</v>
          </cell>
          <cell r="D1376">
            <v>1</v>
          </cell>
          <cell r="E1376">
            <v>0</v>
          </cell>
          <cell r="F1376">
            <v>513</v>
          </cell>
          <cell r="G1376" t="str">
            <v>STAY</v>
          </cell>
          <cell r="H1376" t="str">
            <v>G059</v>
          </cell>
          <cell r="I1376">
            <v>10</v>
          </cell>
        </row>
        <row r="1377">
          <cell r="C1377" t="str">
            <v>96311VU360</v>
          </cell>
          <cell r="D1377">
            <v>1</v>
          </cell>
          <cell r="E1377">
            <v>0</v>
          </cell>
          <cell r="F1377">
            <v>513</v>
          </cell>
          <cell r="G1377" t="str">
            <v>STAY</v>
          </cell>
          <cell r="H1377" t="str">
            <v>G059</v>
          </cell>
          <cell r="I1377">
            <v>80</v>
          </cell>
        </row>
        <row r="1378">
          <cell r="C1378" t="str">
            <v>96311VU370</v>
          </cell>
          <cell r="D1378">
            <v>1</v>
          </cell>
          <cell r="E1378">
            <v>0</v>
          </cell>
          <cell r="F1378">
            <v>513</v>
          </cell>
          <cell r="G1378" t="str">
            <v>STAY</v>
          </cell>
          <cell r="H1378" t="str">
            <v>G059</v>
          </cell>
          <cell r="I1378">
            <v>5</v>
          </cell>
        </row>
        <row r="1379">
          <cell r="C1379" t="str">
            <v>265503N300</v>
          </cell>
          <cell r="D1379">
            <v>1</v>
          </cell>
          <cell r="E1379">
            <v>0</v>
          </cell>
          <cell r="F1379">
            <v>214</v>
          </cell>
          <cell r="G1379" t="str">
            <v>RC/L</v>
          </cell>
          <cell r="H1379" t="str">
            <v>B000</v>
          </cell>
          <cell r="I1379">
            <v>1800</v>
          </cell>
        </row>
        <row r="1380">
          <cell r="C1380" t="str">
            <v>265503N301</v>
          </cell>
          <cell r="D1380">
            <v>1</v>
          </cell>
          <cell r="E1380">
            <v>0</v>
          </cell>
          <cell r="F1380">
            <v>214</v>
          </cell>
          <cell r="G1380" t="str">
            <v>RC/L</v>
          </cell>
          <cell r="H1380" t="str">
            <v>B070</v>
          </cell>
          <cell r="I1380">
            <v>1800</v>
          </cell>
        </row>
        <row r="1381">
          <cell r="C1381" t="str">
            <v>265553N300</v>
          </cell>
          <cell r="D1381">
            <v>1</v>
          </cell>
          <cell r="E1381">
            <v>0</v>
          </cell>
          <cell r="F1381">
            <v>214</v>
          </cell>
          <cell r="G1381" t="str">
            <v>RC/L</v>
          </cell>
          <cell r="H1381" t="str">
            <v>B000</v>
          </cell>
          <cell r="I1381">
            <v>1800</v>
          </cell>
        </row>
        <row r="1382">
          <cell r="C1382" t="str">
            <v>265553N301</v>
          </cell>
          <cell r="D1382">
            <v>1</v>
          </cell>
          <cell r="E1382">
            <v>0</v>
          </cell>
          <cell r="F1382">
            <v>214</v>
          </cell>
          <cell r="G1382" t="str">
            <v>RC/L</v>
          </cell>
          <cell r="H1382" t="str">
            <v>B070</v>
          </cell>
          <cell r="I1382">
            <v>1800</v>
          </cell>
        </row>
        <row r="1383">
          <cell r="C1383" t="str">
            <v>908100N720</v>
          </cell>
          <cell r="D1383">
            <v>1</v>
          </cell>
          <cell r="E1383" t="str">
            <v>C</v>
          </cell>
          <cell r="F1383">
            <v>754</v>
          </cell>
          <cell r="G1383" t="str">
            <v>R/F1N</v>
          </cell>
          <cell r="H1383" t="str">
            <v>P010</v>
          </cell>
          <cell r="I1383">
            <v>50</v>
          </cell>
        </row>
        <row r="1384">
          <cell r="C1384" t="str">
            <v>908100N721</v>
          </cell>
          <cell r="D1384">
            <v>1</v>
          </cell>
          <cell r="E1384" t="str">
            <v>C</v>
          </cell>
          <cell r="F1384">
            <v>754</v>
          </cell>
          <cell r="G1384" t="str">
            <v>R/F1N</v>
          </cell>
          <cell r="H1384" t="str">
            <v>P010</v>
          </cell>
          <cell r="I1384">
            <v>50</v>
          </cell>
        </row>
        <row r="1385">
          <cell r="C1385" t="str">
            <v>908102N221</v>
          </cell>
          <cell r="D1385">
            <v>1</v>
          </cell>
          <cell r="E1385" t="str">
            <v>C</v>
          </cell>
          <cell r="F1385">
            <v>754</v>
          </cell>
          <cell r="G1385" t="str">
            <v>R/F1N</v>
          </cell>
          <cell r="H1385" t="str">
            <v>P010</v>
          </cell>
          <cell r="I1385">
            <v>100</v>
          </cell>
        </row>
        <row r="1386">
          <cell r="C1386" t="str">
            <v>963730N315</v>
          </cell>
          <cell r="D1386">
            <v>3</v>
          </cell>
          <cell r="E1386" t="str">
            <v>C</v>
          </cell>
          <cell r="F1386">
            <v>513</v>
          </cell>
          <cell r="G1386" t="str">
            <v>C0VER</v>
          </cell>
          <cell r="H1386">
            <v>0</v>
          </cell>
          <cell r="I1386">
            <v>250</v>
          </cell>
        </row>
        <row r="1387">
          <cell r="C1387" t="str">
            <v>963730N316</v>
          </cell>
          <cell r="D1387">
            <v>3</v>
          </cell>
          <cell r="E1387" t="str">
            <v>C</v>
          </cell>
          <cell r="F1387">
            <v>513</v>
          </cell>
          <cell r="G1387" t="str">
            <v>C0VER</v>
          </cell>
          <cell r="H1387">
            <v>0</v>
          </cell>
          <cell r="I1387">
            <v>750</v>
          </cell>
        </row>
        <row r="1388">
          <cell r="C1388" t="str">
            <v>963730N317</v>
          </cell>
          <cell r="D1388">
            <v>1</v>
          </cell>
          <cell r="E1388" t="str">
            <v>C</v>
          </cell>
          <cell r="F1388">
            <v>513</v>
          </cell>
          <cell r="G1388" t="str">
            <v>C0VER</v>
          </cell>
          <cell r="H1388" t="str">
            <v>G159</v>
          </cell>
          <cell r="I1388">
            <v>600</v>
          </cell>
        </row>
        <row r="1389">
          <cell r="C1389" t="str">
            <v>963730N318</v>
          </cell>
          <cell r="D1389">
            <v>1</v>
          </cell>
          <cell r="E1389" t="str">
            <v>C</v>
          </cell>
          <cell r="F1389">
            <v>513</v>
          </cell>
          <cell r="G1389" t="str">
            <v>C0VER</v>
          </cell>
          <cell r="H1389" t="str">
            <v>G159</v>
          </cell>
          <cell r="I1389">
            <v>600</v>
          </cell>
        </row>
        <row r="1390">
          <cell r="C1390" t="str">
            <v>963740N315</v>
          </cell>
          <cell r="D1390">
            <v>3</v>
          </cell>
          <cell r="E1390" t="str">
            <v>C</v>
          </cell>
          <cell r="F1390">
            <v>513</v>
          </cell>
          <cell r="G1390" t="str">
            <v>C0VER</v>
          </cell>
          <cell r="H1390">
            <v>0</v>
          </cell>
          <cell r="I1390">
            <v>250</v>
          </cell>
        </row>
        <row r="1391">
          <cell r="C1391" t="str">
            <v>963740N316</v>
          </cell>
          <cell r="D1391">
            <v>3</v>
          </cell>
          <cell r="E1391" t="str">
            <v>C</v>
          </cell>
          <cell r="F1391">
            <v>513</v>
          </cell>
          <cell r="G1391" t="str">
            <v>C0VER</v>
          </cell>
          <cell r="H1391">
            <v>0</v>
          </cell>
          <cell r="I1391">
            <v>750</v>
          </cell>
        </row>
        <row r="1392">
          <cell r="C1392" t="str">
            <v>963740N317</v>
          </cell>
          <cell r="D1392">
            <v>1</v>
          </cell>
          <cell r="E1392" t="str">
            <v>C</v>
          </cell>
          <cell r="F1392">
            <v>513</v>
          </cell>
          <cell r="G1392" t="str">
            <v>C0VER</v>
          </cell>
          <cell r="H1392" t="str">
            <v>G159</v>
          </cell>
          <cell r="I1392">
            <v>600</v>
          </cell>
        </row>
        <row r="1393">
          <cell r="C1393" t="str">
            <v>963740N318</v>
          </cell>
          <cell r="D1393">
            <v>1</v>
          </cell>
          <cell r="E1393" t="str">
            <v>C</v>
          </cell>
          <cell r="F1393">
            <v>513</v>
          </cell>
          <cell r="G1393" t="str">
            <v>C0VER</v>
          </cell>
          <cell r="H1393" t="str">
            <v>G159</v>
          </cell>
          <cell r="I1393">
            <v>600</v>
          </cell>
        </row>
        <row r="1394">
          <cell r="C1394" t="str">
            <v>26010AG000</v>
          </cell>
          <cell r="D1394">
            <v>1</v>
          </cell>
          <cell r="E1394">
            <v>0</v>
          </cell>
          <cell r="F1394">
            <v>151</v>
          </cell>
          <cell r="G1394" t="str">
            <v>H/L</v>
          </cell>
          <cell r="H1394" t="str">
            <v>A190</v>
          </cell>
          <cell r="I1394">
            <v>1820</v>
          </cell>
        </row>
        <row r="1395">
          <cell r="C1395" t="str">
            <v>26010AG001</v>
          </cell>
          <cell r="D1395">
            <v>2</v>
          </cell>
          <cell r="E1395">
            <v>0</v>
          </cell>
          <cell r="F1395">
            <v>151</v>
          </cell>
          <cell r="G1395" t="str">
            <v>H/L</v>
          </cell>
          <cell r="H1395" t="str">
            <v>A310</v>
          </cell>
          <cell r="I1395">
            <v>1500</v>
          </cell>
        </row>
        <row r="1396">
          <cell r="C1396" t="str">
            <v>26010AG010</v>
          </cell>
          <cell r="D1396">
            <v>1</v>
          </cell>
          <cell r="E1396">
            <v>0</v>
          </cell>
          <cell r="F1396">
            <v>151</v>
          </cell>
          <cell r="G1396" t="str">
            <v>H/L</v>
          </cell>
          <cell r="H1396" t="str">
            <v>A400</v>
          </cell>
          <cell r="I1396">
            <v>330</v>
          </cell>
        </row>
        <row r="1397">
          <cell r="C1397" t="str">
            <v>26010AG200</v>
          </cell>
          <cell r="D1397">
            <v>1</v>
          </cell>
          <cell r="E1397">
            <v>0</v>
          </cell>
          <cell r="F1397">
            <v>151</v>
          </cell>
          <cell r="G1397" t="str">
            <v>H/L</v>
          </cell>
          <cell r="H1397" t="str">
            <v>A190</v>
          </cell>
          <cell r="I1397">
            <v>2400</v>
          </cell>
        </row>
        <row r="1398">
          <cell r="C1398" t="str">
            <v>26010AG210</v>
          </cell>
          <cell r="D1398">
            <v>1</v>
          </cell>
          <cell r="E1398">
            <v>0</v>
          </cell>
          <cell r="F1398">
            <v>151</v>
          </cell>
          <cell r="G1398" t="str">
            <v>H/L</v>
          </cell>
          <cell r="H1398" t="str">
            <v>A400</v>
          </cell>
          <cell r="I1398">
            <v>450</v>
          </cell>
        </row>
        <row r="1399">
          <cell r="C1399" t="str">
            <v>26060AG000</v>
          </cell>
          <cell r="D1399">
            <v>1</v>
          </cell>
          <cell r="E1399">
            <v>0</v>
          </cell>
          <cell r="F1399">
            <v>151</v>
          </cell>
          <cell r="G1399" t="str">
            <v>H/L</v>
          </cell>
          <cell r="H1399" t="str">
            <v>A190</v>
          </cell>
          <cell r="I1399">
            <v>1820</v>
          </cell>
        </row>
        <row r="1400">
          <cell r="C1400" t="str">
            <v>26060AG001</v>
          </cell>
          <cell r="D1400">
            <v>2</v>
          </cell>
          <cell r="E1400">
            <v>0</v>
          </cell>
          <cell r="F1400">
            <v>151</v>
          </cell>
          <cell r="G1400" t="str">
            <v>H/L</v>
          </cell>
          <cell r="H1400" t="str">
            <v>A310</v>
          </cell>
          <cell r="I1400">
            <v>1500</v>
          </cell>
        </row>
        <row r="1401">
          <cell r="C1401" t="str">
            <v>26060AG010</v>
          </cell>
          <cell r="D1401">
            <v>1</v>
          </cell>
          <cell r="E1401">
            <v>0</v>
          </cell>
          <cell r="F1401">
            <v>151</v>
          </cell>
          <cell r="G1401" t="str">
            <v>H/L</v>
          </cell>
          <cell r="H1401" t="str">
            <v>A400</v>
          </cell>
          <cell r="I1401">
            <v>330</v>
          </cell>
        </row>
        <row r="1402">
          <cell r="C1402" t="str">
            <v>26060AG200</v>
          </cell>
          <cell r="D1402">
            <v>1</v>
          </cell>
          <cell r="E1402">
            <v>0</v>
          </cell>
          <cell r="F1402">
            <v>151</v>
          </cell>
          <cell r="G1402" t="str">
            <v>H/L</v>
          </cell>
          <cell r="H1402" t="str">
            <v>A190</v>
          </cell>
          <cell r="I1402">
            <v>2400</v>
          </cell>
        </row>
        <row r="1403">
          <cell r="C1403" t="str">
            <v>26060AG210</v>
          </cell>
          <cell r="D1403">
            <v>1</v>
          </cell>
          <cell r="E1403">
            <v>0</v>
          </cell>
          <cell r="F1403">
            <v>151</v>
          </cell>
          <cell r="G1403" t="str">
            <v>H/L</v>
          </cell>
          <cell r="H1403" t="str">
            <v>A400</v>
          </cell>
          <cell r="I1403">
            <v>450</v>
          </cell>
        </row>
        <row r="1404">
          <cell r="C1404" t="str">
            <v>26160AG000</v>
          </cell>
          <cell r="D1404">
            <v>1</v>
          </cell>
          <cell r="E1404">
            <v>0</v>
          </cell>
          <cell r="F1404">
            <v>415</v>
          </cell>
          <cell r="G1404" t="str">
            <v>ST/L</v>
          </cell>
          <cell r="H1404" t="str">
            <v>B200</v>
          </cell>
          <cell r="I1404">
            <v>10000</v>
          </cell>
        </row>
        <row r="1405">
          <cell r="C1405" t="str">
            <v>264004P000</v>
          </cell>
          <cell r="D1405">
            <v>3</v>
          </cell>
          <cell r="E1405">
            <v>0</v>
          </cell>
          <cell r="F1405">
            <v>415</v>
          </cell>
          <cell r="G1405" t="str">
            <v>F00T/L</v>
          </cell>
          <cell r="H1405">
            <v>0</v>
          </cell>
          <cell r="I1405">
            <v>5000</v>
          </cell>
        </row>
        <row r="1406">
          <cell r="C1406" t="str">
            <v>26420AG000</v>
          </cell>
          <cell r="D1406">
            <v>1</v>
          </cell>
          <cell r="E1406">
            <v>0</v>
          </cell>
          <cell r="F1406">
            <v>415</v>
          </cell>
          <cell r="G1406" t="str">
            <v>STP/L</v>
          </cell>
          <cell r="H1406" t="str">
            <v>E000</v>
          </cell>
          <cell r="I1406">
            <v>20000</v>
          </cell>
        </row>
        <row r="1407">
          <cell r="C1407" t="str">
            <v>26430AG001</v>
          </cell>
          <cell r="D1407">
            <v>1</v>
          </cell>
          <cell r="E1407">
            <v>0</v>
          </cell>
          <cell r="F1407">
            <v>415</v>
          </cell>
          <cell r="G1407" t="str">
            <v>MAP/L</v>
          </cell>
          <cell r="H1407" t="str">
            <v>E010</v>
          </cell>
          <cell r="I1407">
            <v>625</v>
          </cell>
        </row>
        <row r="1408">
          <cell r="C1408" t="str">
            <v>26430AG003</v>
          </cell>
          <cell r="D1408">
            <v>1</v>
          </cell>
          <cell r="E1408">
            <v>0</v>
          </cell>
          <cell r="F1408">
            <v>415</v>
          </cell>
          <cell r="G1408" t="str">
            <v>MAP/L</v>
          </cell>
          <cell r="H1408" t="str">
            <v>E010</v>
          </cell>
          <cell r="I1408">
            <v>100</v>
          </cell>
        </row>
        <row r="1409">
          <cell r="C1409" t="str">
            <v>26430AG006</v>
          </cell>
          <cell r="D1409">
            <v>1</v>
          </cell>
          <cell r="E1409">
            <v>0</v>
          </cell>
          <cell r="F1409">
            <v>415</v>
          </cell>
          <cell r="G1409" t="str">
            <v>MAP/L</v>
          </cell>
          <cell r="H1409" t="str">
            <v>E010</v>
          </cell>
          <cell r="I1409">
            <v>625</v>
          </cell>
        </row>
        <row r="1410">
          <cell r="C1410" t="str">
            <v>26430AG008</v>
          </cell>
          <cell r="D1410">
            <v>1</v>
          </cell>
          <cell r="E1410">
            <v>0</v>
          </cell>
          <cell r="F1410">
            <v>415</v>
          </cell>
          <cell r="G1410" t="str">
            <v>MAP/L</v>
          </cell>
          <cell r="H1410" t="str">
            <v>E010</v>
          </cell>
          <cell r="I1410">
            <v>100</v>
          </cell>
        </row>
        <row r="1411">
          <cell r="C1411" t="str">
            <v>26430AG011</v>
          </cell>
          <cell r="D1411">
            <v>1</v>
          </cell>
          <cell r="E1411">
            <v>0</v>
          </cell>
          <cell r="F1411">
            <v>415</v>
          </cell>
          <cell r="G1411" t="str">
            <v>MAP/L</v>
          </cell>
          <cell r="H1411" t="str">
            <v>E010</v>
          </cell>
          <cell r="I1411">
            <v>625</v>
          </cell>
        </row>
        <row r="1412">
          <cell r="C1412" t="str">
            <v>26430AG013</v>
          </cell>
          <cell r="D1412">
            <v>1</v>
          </cell>
          <cell r="E1412">
            <v>0</v>
          </cell>
          <cell r="F1412">
            <v>415</v>
          </cell>
          <cell r="G1412" t="str">
            <v>MAP/L</v>
          </cell>
          <cell r="H1412" t="str">
            <v>E010</v>
          </cell>
          <cell r="I1412">
            <v>10</v>
          </cell>
        </row>
        <row r="1413">
          <cell r="C1413" t="str">
            <v>26430AG016</v>
          </cell>
          <cell r="D1413">
            <v>1</v>
          </cell>
          <cell r="E1413">
            <v>0</v>
          </cell>
          <cell r="F1413">
            <v>415</v>
          </cell>
          <cell r="G1413" t="str">
            <v>MAP/L</v>
          </cell>
          <cell r="H1413" t="str">
            <v>E010</v>
          </cell>
          <cell r="I1413">
            <v>625</v>
          </cell>
        </row>
        <row r="1414">
          <cell r="C1414" t="str">
            <v>26430AG018</v>
          </cell>
          <cell r="D1414">
            <v>1</v>
          </cell>
          <cell r="E1414">
            <v>0</v>
          </cell>
          <cell r="F1414">
            <v>415</v>
          </cell>
          <cell r="G1414" t="str">
            <v>MAP/L</v>
          </cell>
          <cell r="H1414" t="str">
            <v>E010</v>
          </cell>
          <cell r="I1414">
            <v>10</v>
          </cell>
        </row>
        <row r="1415">
          <cell r="C1415" t="str">
            <v>26430AG101</v>
          </cell>
          <cell r="D1415">
            <v>1</v>
          </cell>
          <cell r="E1415">
            <v>0</v>
          </cell>
          <cell r="F1415">
            <v>415</v>
          </cell>
          <cell r="G1415" t="str">
            <v>MAP/L</v>
          </cell>
          <cell r="H1415" t="str">
            <v>E010</v>
          </cell>
          <cell r="I1415">
            <v>625</v>
          </cell>
        </row>
        <row r="1416">
          <cell r="C1416" t="str">
            <v>26430AG103</v>
          </cell>
          <cell r="D1416">
            <v>1</v>
          </cell>
          <cell r="E1416">
            <v>0</v>
          </cell>
          <cell r="F1416">
            <v>415</v>
          </cell>
          <cell r="G1416" t="str">
            <v>MAP/L</v>
          </cell>
          <cell r="H1416" t="str">
            <v>E010</v>
          </cell>
          <cell r="I1416">
            <v>100</v>
          </cell>
        </row>
        <row r="1417">
          <cell r="C1417" t="str">
            <v>26430AG106</v>
          </cell>
          <cell r="D1417">
            <v>1</v>
          </cell>
          <cell r="E1417">
            <v>0</v>
          </cell>
          <cell r="F1417">
            <v>415</v>
          </cell>
          <cell r="G1417" t="str">
            <v>MAP/L</v>
          </cell>
          <cell r="H1417" t="str">
            <v>E010</v>
          </cell>
          <cell r="I1417">
            <v>625</v>
          </cell>
        </row>
        <row r="1418">
          <cell r="C1418" t="str">
            <v>26430AG111</v>
          </cell>
          <cell r="D1418">
            <v>1</v>
          </cell>
          <cell r="E1418">
            <v>0</v>
          </cell>
          <cell r="F1418">
            <v>415</v>
          </cell>
          <cell r="G1418" t="str">
            <v>MAP/L</v>
          </cell>
          <cell r="H1418" t="str">
            <v>E010</v>
          </cell>
          <cell r="I1418">
            <v>625</v>
          </cell>
        </row>
        <row r="1419">
          <cell r="C1419" t="str">
            <v>26430AG113</v>
          </cell>
          <cell r="D1419">
            <v>1</v>
          </cell>
          <cell r="E1419">
            <v>0</v>
          </cell>
          <cell r="F1419">
            <v>415</v>
          </cell>
          <cell r="G1419" t="str">
            <v>MAP/L</v>
          </cell>
          <cell r="H1419" t="str">
            <v>E010</v>
          </cell>
          <cell r="I1419">
            <v>10</v>
          </cell>
        </row>
        <row r="1420">
          <cell r="C1420" t="str">
            <v>26430AG116</v>
          </cell>
          <cell r="D1420">
            <v>1</v>
          </cell>
          <cell r="E1420">
            <v>0</v>
          </cell>
          <cell r="F1420">
            <v>415</v>
          </cell>
          <cell r="G1420" t="str">
            <v>MAP/L</v>
          </cell>
          <cell r="H1420" t="str">
            <v>E010</v>
          </cell>
          <cell r="I1420">
            <v>625</v>
          </cell>
        </row>
        <row r="1421">
          <cell r="C1421" t="str">
            <v>26430AG118</v>
          </cell>
          <cell r="D1421">
            <v>1</v>
          </cell>
          <cell r="E1421">
            <v>0</v>
          </cell>
          <cell r="F1421">
            <v>415</v>
          </cell>
          <cell r="G1421" t="str">
            <v>MAP/L</v>
          </cell>
          <cell r="H1421" t="str">
            <v>E010</v>
          </cell>
          <cell r="I1421">
            <v>100</v>
          </cell>
        </row>
        <row r="1422">
          <cell r="C1422" t="str">
            <v>26460AG001</v>
          </cell>
          <cell r="D1422">
            <v>1</v>
          </cell>
          <cell r="E1422">
            <v>0</v>
          </cell>
          <cell r="F1422">
            <v>415</v>
          </cell>
          <cell r="G1422" t="str">
            <v>PS/L</v>
          </cell>
          <cell r="H1422" t="str">
            <v>D100</v>
          </cell>
          <cell r="I1422">
            <v>10000</v>
          </cell>
        </row>
        <row r="1423">
          <cell r="C1423" t="str">
            <v>26510AG000</v>
          </cell>
          <cell r="D1423">
            <v>1</v>
          </cell>
          <cell r="E1423">
            <v>0</v>
          </cell>
          <cell r="F1423">
            <v>415</v>
          </cell>
          <cell r="G1423" t="str">
            <v>L/L</v>
          </cell>
          <cell r="H1423" t="str">
            <v>D000</v>
          </cell>
          <cell r="I1423">
            <v>10000</v>
          </cell>
        </row>
        <row r="1424">
          <cell r="C1424" t="str">
            <v>26550AG000</v>
          </cell>
          <cell r="D1424">
            <v>1</v>
          </cell>
          <cell r="E1424">
            <v>0</v>
          </cell>
          <cell r="F1424">
            <v>214</v>
          </cell>
          <cell r="G1424" t="str">
            <v>RC/L</v>
          </cell>
          <cell r="H1424" t="str">
            <v>B000</v>
          </cell>
          <cell r="I1424">
            <v>2150</v>
          </cell>
        </row>
        <row r="1425">
          <cell r="C1425" t="str">
            <v>26550AG010</v>
          </cell>
          <cell r="D1425">
            <v>1</v>
          </cell>
          <cell r="E1425">
            <v>0</v>
          </cell>
          <cell r="F1425">
            <v>214</v>
          </cell>
          <cell r="G1425" t="str">
            <v>RC/L</v>
          </cell>
          <cell r="H1425" t="str">
            <v>B000</v>
          </cell>
          <cell r="I1425">
            <v>2850</v>
          </cell>
        </row>
        <row r="1426">
          <cell r="C1426" t="str">
            <v>26555AG000</v>
          </cell>
          <cell r="D1426">
            <v>1</v>
          </cell>
          <cell r="E1426">
            <v>0</v>
          </cell>
          <cell r="F1426">
            <v>214</v>
          </cell>
          <cell r="G1426" t="str">
            <v>RC/L</v>
          </cell>
          <cell r="H1426" t="str">
            <v>B000</v>
          </cell>
          <cell r="I1426">
            <v>2150</v>
          </cell>
        </row>
        <row r="1427">
          <cell r="C1427" t="str">
            <v>26555AG010</v>
          </cell>
          <cell r="D1427">
            <v>1</v>
          </cell>
          <cell r="E1427">
            <v>0</v>
          </cell>
          <cell r="F1427">
            <v>214</v>
          </cell>
          <cell r="G1427" t="str">
            <v>RC/L</v>
          </cell>
          <cell r="H1427" t="str">
            <v>B000</v>
          </cell>
          <cell r="I1427">
            <v>2850</v>
          </cell>
        </row>
        <row r="1428">
          <cell r="C1428" t="str">
            <v>26580AG000</v>
          </cell>
          <cell r="D1428">
            <v>1</v>
          </cell>
          <cell r="E1428">
            <v>0</v>
          </cell>
          <cell r="F1428">
            <v>414</v>
          </cell>
          <cell r="G1428" t="str">
            <v>RR F0G</v>
          </cell>
          <cell r="H1428" t="str">
            <v>E090</v>
          </cell>
          <cell r="I1428">
            <v>250</v>
          </cell>
        </row>
        <row r="1429">
          <cell r="C1429" t="str">
            <v>26582AG000</v>
          </cell>
          <cell r="D1429">
            <v>1</v>
          </cell>
          <cell r="E1429">
            <v>0</v>
          </cell>
          <cell r="F1429">
            <v>414</v>
          </cell>
          <cell r="G1429" t="str">
            <v>R1MF/L</v>
          </cell>
          <cell r="H1429" t="str">
            <v>E099</v>
          </cell>
          <cell r="I1429">
            <v>150</v>
          </cell>
        </row>
        <row r="1430">
          <cell r="C1430" t="str">
            <v>26582AG001</v>
          </cell>
          <cell r="D1430">
            <v>1</v>
          </cell>
          <cell r="E1430">
            <v>0</v>
          </cell>
          <cell r="F1430">
            <v>414</v>
          </cell>
          <cell r="G1430" t="str">
            <v>R1MF/L</v>
          </cell>
          <cell r="H1430" t="str">
            <v>E099</v>
          </cell>
          <cell r="I1430">
            <v>100</v>
          </cell>
        </row>
        <row r="1431">
          <cell r="C1431" t="str">
            <v>26590AG001</v>
          </cell>
          <cell r="D1431">
            <v>1</v>
          </cell>
          <cell r="E1431">
            <v>0</v>
          </cell>
          <cell r="F1431">
            <v>414</v>
          </cell>
          <cell r="G1431" t="str">
            <v>HMS/L</v>
          </cell>
          <cell r="H1431" t="str">
            <v>E010</v>
          </cell>
          <cell r="I1431">
            <v>2500</v>
          </cell>
        </row>
        <row r="1432">
          <cell r="C1432" t="str">
            <v>26590AG002</v>
          </cell>
          <cell r="D1432">
            <v>1</v>
          </cell>
          <cell r="E1432">
            <v>0</v>
          </cell>
          <cell r="F1432">
            <v>414</v>
          </cell>
          <cell r="G1432" t="str">
            <v>HMS/L</v>
          </cell>
          <cell r="H1432" t="str">
            <v>E010</v>
          </cell>
          <cell r="I1432">
            <v>2500</v>
          </cell>
        </row>
        <row r="1433">
          <cell r="C1433" t="str">
            <v>26590AG003</v>
          </cell>
          <cell r="D1433">
            <v>1</v>
          </cell>
          <cell r="E1433">
            <v>0</v>
          </cell>
          <cell r="F1433">
            <v>414</v>
          </cell>
          <cell r="G1433" t="str">
            <v>HMS/L</v>
          </cell>
          <cell r="H1433" t="str">
            <v>B050</v>
          </cell>
          <cell r="I1433">
            <v>300</v>
          </cell>
        </row>
        <row r="1434">
          <cell r="C1434" t="str">
            <v>26590AG011</v>
          </cell>
          <cell r="D1434">
            <v>1</v>
          </cell>
          <cell r="E1434">
            <v>0</v>
          </cell>
          <cell r="F1434">
            <v>414</v>
          </cell>
          <cell r="G1434" t="str">
            <v>HMS/L</v>
          </cell>
          <cell r="H1434" t="str">
            <v>B050</v>
          </cell>
          <cell r="I1434">
            <v>100</v>
          </cell>
        </row>
        <row r="1435">
          <cell r="C1435" t="str">
            <v>26590AG012</v>
          </cell>
          <cell r="D1435">
            <v>1</v>
          </cell>
          <cell r="E1435">
            <v>0</v>
          </cell>
          <cell r="F1435">
            <v>414</v>
          </cell>
          <cell r="G1435" t="str">
            <v>HMS/L</v>
          </cell>
          <cell r="H1435" t="str">
            <v>B050</v>
          </cell>
          <cell r="I1435">
            <v>100</v>
          </cell>
        </row>
        <row r="1436">
          <cell r="C1436" t="str">
            <v>26590AG013</v>
          </cell>
          <cell r="D1436">
            <v>1</v>
          </cell>
          <cell r="E1436">
            <v>0</v>
          </cell>
          <cell r="F1436">
            <v>414</v>
          </cell>
          <cell r="G1436" t="str">
            <v>HMS/L</v>
          </cell>
          <cell r="H1436" t="str">
            <v>B050</v>
          </cell>
          <cell r="I1436">
            <v>100</v>
          </cell>
        </row>
        <row r="1437">
          <cell r="C1437" t="str">
            <v>28881AG000</v>
          </cell>
          <cell r="D1437">
            <v>1</v>
          </cell>
          <cell r="E1437">
            <v>0</v>
          </cell>
          <cell r="F1437">
            <v>714</v>
          </cell>
          <cell r="G1437" t="str">
            <v>W/A</v>
          </cell>
          <cell r="H1437" t="str">
            <v>K010</v>
          </cell>
          <cell r="I1437">
            <v>4700</v>
          </cell>
        </row>
        <row r="1438">
          <cell r="C1438" t="str">
            <v>28881AG010</v>
          </cell>
          <cell r="D1438">
            <v>1</v>
          </cell>
          <cell r="E1438">
            <v>0</v>
          </cell>
          <cell r="F1438">
            <v>714</v>
          </cell>
          <cell r="G1438" t="str">
            <v>W/A</v>
          </cell>
          <cell r="H1438" t="str">
            <v>K010</v>
          </cell>
          <cell r="I1438">
            <v>300</v>
          </cell>
        </row>
        <row r="1439">
          <cell r="C1439" t="str">
            <v>288826J000</v>
          </cell>
          <cell r="D1439">
            <v>3</v>
          </cell>
          <cell r="E1439">
            <v>0</v>
          </cell>
          <cell r="F1439">
            <v>714</v>
          </cell>
          <cell r="G1439" t="str">
            <v>C0VER</v>
          </cell>
          <cell r="H1439">
            <v>0</v>
          </cell>
          <cell r="I1439">
            <v>10000</v>
          </cell>
        </row>
        <row r="1440">
          <cell r="C1440" t="str">
            <v>28886AG000</v>
          </cell>
          <cell r="D1440">
            <v>1</v>
          </cell>
          <cell r="E1440">
            <v>0</v>
          </cell>
          <cell r="F1440">
            <v>714</v>
          </cell>
          <cell r="G1440" t="str">
            <v>W/A</v>
          </cell>
          <cell r="H1440" t="str">
            <v>K010</v>
          </cell>
          <cell r="I1440">
            <v>4700</v>
          </cell>
        </row>
        <row r="1441">
          <cell r="C1441" t="str">
            <v>28886AG010</v>
          </cell>
          <cell r="D1441">
            <v>1</v>
          </cell>
          <cell r="E1441">
            <v>0</v>
          </cell>
          <cell r="F1441">
            <v>714</v>
          </cell>
          <cell r="G1441" t="str">
            <v>W/A</v>
          </cell>
          <cell r="H1441" t="str">
            <v>K010</v>
          </cell>
          <cell r="I1441">
            <v>300</v>
          </cell>
        </row>
        <row r="1442">
          <cell r="C1442" t="str">
            <v>28890AA000</v>
          </cell>
          <cell r="D1442">
            <v>3</v>
          </cell>
          <cell r="E1442">
            <v>0</v>
          </cell>
          <cell r="F1442">
            <v>714</v>
          </cell>
          <cell r="G1442" t="str">
            <v>W/B</v>
          </cell>
          <cell r="H1442">
            <v>0</v>
          </cell>
          <cell r="I1442">
            <v>5000</v>
          </cell>
        </row>
        <row r="1443">
          <cell r="C1443" t="str">
            <v>28890WA010</v>
          </cell>
          <cell r="D1443">
            <v>1</v>
          </cell>
          <cell r="E1443">
            <v>0</v>
          </cell>
          <cell r="F1443">
            <v>714</v>
          </cell>
          <cell r="G1443" t="str">
            <v>W/B</v>
          </cell>
          <cell r="H1443" t="str">
            <v>K120</v>
          </cell>
          <cell r="I1443">
            <v>5000</v>
          </cell>
        </row>
        <row r="1444">
          <cell r="C1444" t="str">
            <v>80394AG200</v>
          </cell>
          <cell r="D1444">
            <v>1</v>
          </cell>
          <cell r="E1444">
            <v>0</v>
          </cell>
          <cell r="F1444">
            <v>414</v>
          </cell>
          <cell r="G1444" t="str">
            <v>WE/L</v>
          </cell>
          <cell r="H1444" t="str">
            <v>E090</v>
          </cell>
          <cell r="I1444">
            <v>400</v>
          </cell>
        </row>
        <row r="1445">
          <cell r="C1445" t="str">
            <v>82962AG000</v>
          </cell>
          <cell r="D1445">
            <v>2</v>
          </cell>
          <cell r="E1445">
            <v>0</v>
          </cell>
          <cell r="F1445">
            <v>644</v>
          </cell>
          <cell r="G1445" t="str">
            <v>L1D</v>
          </cell>
          <cell r="H1445" t="str">
            <v>L019</v>
          </cell>
          <cell r="I1445">
            <v>500</v>
          </cell>
        </row>
        <row r="1446">
          <cell r="C1446" t="str">
            <v>82962AG001</v>
          </cell>
          <cell r="D1446">
            <v>1</v>
          </cell>
          <cell r="E1446">
            <v>0</v>
          </cell>
          <cell r="F1446">
            <v>644</v>
          </cell>
          <cell r="G1446" t="str">
            <v>L1D</v>
          </cell>
          <cell r="H1446" t="str">
            <v>L019</v>
          </cell>
          <cell r="I1446">
            <v>2500</v>
          </cell>
        </row>
        <row r="1447">
          <cell r="C1447" t="str">
            <v>82962AG002</v>
          </cell>
          <cell r="D1447">
            <v>1</v>
          </cell>
          <cell r="E1447">
            <v>0</v>
          </cell>
          <cell r="F1447">
            <v>644</v>
          </cell>
          <cell r="G1447" t="str">
            <v>L1D</v>
          </cell>
          <cell r="H1447" t="str">
            <v>L019</v>
          </cell>
          <cell r="I1447">
            <v>2500</v>
          </cell>
        </row>
        <row r="1448">
          <cell r="C1448" t="str">
            <v>82963AG000</v>
          </cell>
          <cell r="D1448">
            <v>2</v>
          </cell>
          <cell r="E1448">
            <v>0</v>
          </cell>
          <cell r="F1448">
            <v>644</v>
          </cell>
          <cell r="G1448" t="str">
            <v>L1D</v>
          </cell>
          <cell r="H1448" t="str">
            <v>L019</v>
          </cell>
          <cell r="I1448">
            <v>500</v>
          </cell>
        </row>
        <row r="1449">
          <cell r="C1449" t="str">
            <v>82963AG001</v>
          </cell>
          <cell r="D1449">
            <v>1</v>
          </cell>
          <cell r="E1449">
            <v>0</v>
          </cell>
          <cell r="F1449">
            <v>644</v>
          </cell>
          <cell r="G1449" t="str">
            <v>L1D</v>
          </cell>
          <cell r="H1449" t="str">
            <v>L019</v>
          </cell>
          <cell r="I1449">
            <v>2500</v>
          </cell>
        </row>
        <row r="1450">
          <cell r="C1450" t="str">
            <v>82963AG002</v>
          </cell>
          <cell r="D1450">
            <v>1</v>
          </cell>
          <cell r="E1450">
            <v>0</v>
          </cell>
          <cell r="F1450">
            <v>644</v>
          </cell>
          <cell r="G1450" t="str">
            <v>L1D</v>
          </cell>
          <cell r="H1450" t="str">
            <v>L019</v>
          </cell>
          <cell r="I1450">
            <v>2500</v>
          </cell>
        </row>
        <row r="1451">
          <cell r="C1451" t="str">
            <v>96301AG000</v>
          </cell>
          <cell r="D1451">
            <v>1</v>
          </cell>
          <cell r="E1451">
            <v>0</v>
          </cell>
          <cell r="F1451">
            <v>513</v>
          </cell>
          <cell r="G1451" t="str">
            <v>DD/M</v>
          </cell>
          <cell r="H1451" t="str">
            <v>G160</v>
          </cell>
          <cell r="I1451">
            <v>208</v>
          </cell>
        </row>
        <row r="1452">
          <cell r="C1452" t="str">
            <v>96301AG001</v>
          </cell>
          <cell r="D1452">
            <v>1</v>
          </cell>
          <cell r="E1452">
            <v>0</v>
          </cell>
          <cell r="F1452">
            <v>513</v>
          </cell>
          <cell r="G1452" t="str">
            <v>DD/M</v>
          </cell>
          <cell r="H1452" t="str">
            <v>G160</v>
          </cell>
          <cell r="I1452">
            <v>208</v>
          </cell>
        </row>
        <row r="1453">
          <cell r="C1453" t="str">
            <v>96301AG002</v>
          </cell>
          <cell r="D1453">
            <v>1</v>
          </cell>
          <cell r="E1453">
            <v>0</v>
          </cell>
          <cell r="F1453">
            <v>513</v>
          </cell>
          <cell r="G1453" t="str">
            <v>DD/M</v>
          </cell>
          <cell r="H1453" t="str">
            <v>G160</v>
          </cell>
          <cell r="I1453">
            <v>208</v>
          </cell>
        </row>
        <row r="1454">
          <cell r="C1454" t="str">
            <v>96301AG003</v>
          </cell>
          <cell r="D1454">
            <v>1</v>
          </cell>
          <cell r="E1454">
            <v>0</v>
          </cell>
          <cell r="F1454">
            <v>513</v>
          </cell>
          <cell r="G1454" t="str">
            <v>DD/M</v>
          </cell>
          <cell r="H1454" t="str">
            <v>G160</v>
          </cell>
          <cell r="I1454">
            <v>208</v>
          </cell>
        </row>
        <row r="1455">
          <cell r="C1455" t="str">
            <v>96301AG004</v>
          </cell>
          <cell r="D1455">
            <v>1</v>
          </cell>
          <cell r="E1455">
            <v>0</v>
          </cell>
          <cell r="F1455">
            <v>513</v>
          </cell>
          <cell r="G1455" t="str">
            <v>DD/M</v>
          </cell>
          <cell r="H1455" t="str">
            <v>G160</v>
          </cell>
          <cell r="I1455">
            <v>208</v>
          </cell>
        </row>
        <row r="1456">
          <cell r="C1456" t="str">
            <v>96301AG005</v>
          </cell>
          <cell r="D1456">
            <v>1</v>
          </cell>
          <cell r="E1456">
            <v>0</v>
          </cell>
          <cell r="F1456">
            <v>513</v>
          </cell>
          <cell r="G1456" t="str">
            <v>DD/M</v>
          </cell>
          <cell r="H1456" t="str">
            <v>G160</v>
          </cell>
          <cell r="I1456">
            <v>208</v>
          </cell>
        </row>
        <row r="1457">
          <cell r="C1457" t="str">
            <v>96301AG006</v>
          </cell>
          <cell r="D1457">
            <v>1</v>
          </cell>
          <cell r="E1457">
            <v>0</v>
          </cell>
          <cell r="F1457">
            <v>513</v>
          </cell>
          <cell r="G1457" t="str">
            <v>DD/M</v>
          </cell>
          <cell r="H1457" t="str">
            <v>G160</v>
          </cell>
          <cell r="I1457">
            <v>208</v>
          </cell>
        </row>
        <row r="1458">
          <cell r="C1458" t="str">
            <v>96301AG007</v>
          </cell>
          <cell r="D1458">
            <v>1</v>
          </cell>
          <cell r="E1458">
            <v>0</v>
          </cell>
          <cell r="F1458">
            <v>513</v>
          </cell>
          <cell r="G1458" t="str">
            <v>DD/M</v>
          </cell>
          <cell r="H1458" t="str">
            <v>G160</v>
          </cell>
          <cell r="I1458">
            <v>208</v>
          </cell>
        </row>
        <row r="1459">
          <cell r="C1459" t="str">
            <v>96301AG008</v>
          </cell>
          <cell r="D1459">
            <v>1</v>
          </cell>
          <cell r="E1459">
            <v>0</v>
          </cell>
          <cell r="F1459">
            <v>513</v>
          </cell>
          <cell r="G1459" t="str">
            <v>DD/M</v>
          </cell>
          <cell r="H1459" t="str">
            <v>G160</v>
          </cell>
          <cell r="I1459">
            <v>208</v>
          </cell>
        </row>
        <row r="1460">
          <cell r="C1460" t="str">
            <v>96301AG009</v>
          </cell>
          <cell r="D1460">
            <v>1</v>
          </cell>
          <cell r="E1460">
            <v>0</v>
          </cell>
          <cell r="F1460">
            <v>513</v>
          </cell>
          <cell r="G1460" t="str">
            <v>DD/M</v>
          </cell>
          <cell r="H1460" t="str">
            <v>G160</v>
          </cell>
          <cell r="I1460">
            <v>208</v>
          </cell>
        </row>
        <row r="1461">
          <cell r="C1461" t="str">
            <v>96301AG010</v>
          </cell>
          <cell r="D1461">
            <v>1</v>
          </cell>
          <cell r="E1461">
            <v>0</v>
          </cell>
          <cell r="F1461">
            <v>513</v>
          </cell>
          <cell r="G1461" t="str">
            <v>DD/M</v>
          </cell>
          <cell r="H1461" t="str">
            <v>G160</v>
          </cell>
          <cell r="I1461">
            <v>208</v>
          </cell>
        </row>
        <row r="1462">
          <cell r="C1462" t="str">
            <v>96301AG011</v>
          </cell>
          <cell r="D1462">
            <v>1</v>
          </cell>
          <cell r="E1462">
            <v>0</v>
          </cell>
          <cell r="F1462">
            <v>513</v>
          </cell>
          <cell r="G1462" t="str">
            <v>DD/M</v>
          </cell>
          <cell r="H1462" t="str">
            <v>G160</v>
          </cell>
          <cell r="I1462">
            <v>208</v>
          </cell>
        </row>
        <row r="1463">
          <cell r="C1463" t="str">
            <v>96301AG013</v>
          </cell>
          <cell r="D1463">
            <v>1</v>
          </cell>
          <cell r="E1463">
            <v>0</v>
          </cell>
          <cell r="F1463">
            <v>513</v>
          </cell>
          <cell r="G1463" t="str">
            <v>DD/M</v>
          </cell>
          <cell r="H1463" t="str">
            <v>G160</v>
          </cell>
          <cell r="I1463">
            <v>50</v>
          </cell>
        </row>
        <row r="1464">
          <cell r="C1464" t="str">
            <v>96301AG100</v>
          </cell>
          <cell r="D1464">
            <v>1</v>
          </cell>
          <cell r="E1464">
            <v>0</v>
          </cell>
          <cell r="F1464">
            <v>513</v>
          </cell>
          <cell r="G1464" t="str">
            <v>F/M</v>
          </cell>
          <cell r="H1464" t="str">
            <v>G150</v>
          </cell>
          <cell r="I1464">
            <v>10</v>
          </cell>
        </row>
        <row r="1465">
          <cell r="C1465" t="str">
            <v>96301AG200</v>
          </cell>
          <cell r="D1465">
            <v>1</v>
          </cell>
          <cell r="E1465">
            <v>0</v>
          </cell>
          <cell r="F1465">
            <v>513</v>
          </cell>
          <cell r="G1465" t="str">
            <v>DD/M</v>
          </cell>
          <cell r="H1465" t="str">
            <v>G160</v>
          </cell>
          <cell r="I1465">
            <v>208</v>
          </cell>
        </row>
        <row r="1466">
          <cell r="C1466" t="str">
            <v>96301AG201</v>
          </cell>
          <cell r="D1466">
            <v>1</v>
          </cell>
          <cell r="E1466">
            <v>0</v>
          </cell>
          <cell r="F1466">
            <v>513</v>
          </cell>
          <cell r="G1466" t="str">
            <v>DD/M</v>
          </cell>
          <cell r="H1466" t="str">
            <v>G160</v>
          </cell>
          <cell r="I1466">
            <v>208</v>
          </cell>
        </row>
        <row r="1467">
          <cell r="C1467" t="str">
            <v>96301AG202</v>
          </cell>
          <cell r="D1467">
            <v>1</v>
          </cell>
          <cell r="E1467">
            <v>0</v>
          </cell>
          <cell r="F1467">
            <v>513</v>
          </cell>
          <cell r="G1467" t="str">
            <v>DD/M</v>
          </cell>
          <cell r="H1467" t="str">
            <v>G160</v>
          </cell>
          <cell r="I1467">
            <v>208</v>
          </cell>
        </row>
        <row r="1468">
          <cell r="C1468" t="str">
            <v>96301AG203</v>
          </cell>
          <cell r="D1468">
            <v>1</v>
          </cell>
          <cell r="E1468">
            <v>0</v>
          </cell>
          <cell r="F1468">
            <v>513</v>
          </cell>
          <cell r="G1468" t="str">
            <v>DD/M</v>
          </cell>
          <cell r="H1468" t="str">
            <v>G160</v>
          </cell>
          <cell r="I1468">
            <v>208</v>
          </cell>
        </row>
        <row r="1469">
          <cell r="C1469" t="str">
            <v>96301AG204</v>
          </cell>
          <cell r="D1469">
            <v>1</v>
          </cell>
          <cell r="E1469">
            <v>0</v>
          </cell>
          <cell r="F1469">
            <v>513</v>
          </cell>
          <cell r="G1469" t="str">
            <v>DD/M</v>
          </cell>
          <cell r="H1469" t="str">
            <v>G160</v>
          </cell>
          <cell r="I1469">
            <v>208</v>
          </cell>
        </row>
        <row r="1470">
          <cell r="C1470" t="str">
            <v>96301AG205</v>
          </cell>
          <cell r="D1470">
            <v>1</v>
          </cell>
          <cell r="E1470">
            <v>0</v>
          </cell>
          <cell r="F1470">
            <v>513</v>
          </cell>
          <cell r="G1470" t="str">
            <v>DD/M</v>
          </cell>
          <cell r="H1470" t="str">
            <v>G160</v>
          </cell>
          <cell r="I1470">
            <v>208</v>
          </cell>
        </row>
        <row r="1471">
          <cell r="C1471" t="str">
            <v>96301AG206</v>
          </cell>
          <cell r="D1471">
            <v>1</v>
          </cell>
          <cell r="E1471">
            <v>0</v>
          </cell>
          <cell r="F1471">
            <v>513</v>
          </cell>
          <cell r="G1471" t="str">
            <v>DD/M</v>
          </cell>
          <cell r="H1471" t="str">
            <v>G160</v>
          </cell>
          <cell r="I1471">
            <v>208</v>
          </cell>
        </row>
        <row r="1472">
          <cell r="C1472" t="str">
            <v>96301AG207</v>
          </cell>
          <cell r="D1472">
            <v>1</v>
          </cell>
          <cell r="E1472">
            <v>0</v>
          </cell>
          <cell r="F1472">
            <v>513</v>
          </cell>
          <cell r="G1472" t="str">
            <v>DD/M</v>
          </cell>
          <cell r="H1472" t="str">
            <v>G160</v>
          </cell>
          <cell r="I1472">
            <v>208</v>
          </cell>
        </row>
        <row r="1473">
          <cell r="C1473" t="str">
            <v>96301AG208</v>
          </cell>
          <cell r="D1473">
            <v>1</v>
          </cell>
          <cell r="E1473">
            <v>0</v>
          </cell>
          <cell r="F1473">
            <v>513</v>
          </cell>
          <cell r="G1473" t="str">
            <v>DD/M</v>
          </cell>
          <cell r="H1473" t="str">
            <v>G160</v>
          </cell>
          <cell r="I1473">
            <v>208</v>
          </cell>
        </row>
        <row r="1474">
          <cell r="C1474" t="str">
            <v>96301AG209</v>
          </cell>
          <cell r="D1474">
            <v>1</v>
          </cell>
          <cell r="E1474">
            <v>0</v>
          </cell>
          <cell r="F1474">
            <v>513</v>
          </cell>
          <cell r="G1474" t="str">
            <v>DD/M</v>
          </cell>
          <cell r="H1474" t="str">
            <v>G160</v>
          </cell>
          <cell r="I1474">
            <v>208</v>
          </cell>
        </row>
        <row r="1475">
          <cell r="C1475" t="str">
            <v>96301AG210</v>
          </cell>
          <cell r="D1475">
            <v>1</v>
          </cell>
          <cell r="E1475">
            <v>0</v>
          </cell>
          <cell r="F1475">
            <v>513</v>
          </cell>
          <cell r="G1475" t="str">
            <v>DD/M</v>
          </cell>
          <cell r="H1475" t="str">
            <v>G160</v>
          </cell>
          <cell r="I1475">
            <v>208</v>
          </cell>
        </row>
        <row r="1476">
          <cell r="C1476" t="str">
            <v>96301AG211</v>
          </cell>
          <cell r="D1476">
            <v>1</v>
          </cell>
          <cell r="E1476">
            <v>0</v>
          </cell>
          <cell r="F1476">
            <v>513</v>
          </cell>
          <cell r="G1476" t="str">
            <v>DD/M</v>
          </cell>
          <cell r="H1476" t="str">
            <v>G160</v>
          </cell>
          <cell r="I1476">
            <v>208</v>
          </cell>
        </row>
        <row r="1477">
          <cell r="C1477" t="str">
            <v>96301AG213</v>
          </cell>
          <cell r="D1477">
            <v>1</v>
          </cell>
          <cell r="E1477">
            <v>0</v>
          </cell>
          <cell r="F1477">
            <v>513</v>
          </cell>
          <cell r="G1477" t="str">
            <v>DD/M</v>
          </cell>
          <cell r="H1477" t="str">
            <v>G230</v>
          </cell>
          <cell r="I1477">
            <v>50</v>
          </cell>
        </row>
        <row r="1478">
          <cell r="C1478" t="str">
            <v>96302AG000</v>
          </cell>
          <cell r="D1478">
            <v>1</v>
          </cell>
          <cell r="E1478">
            <v>0</v>
          </cell>
          <cell r="F1478">
            <v>513</v>
          </cell>
          <cell r="G1478" t="str">
            <v>DD/M</v>
          </cell>
          <cell r="H1478" t="str">
            <v>G160</v>
          </cell>
          <cell r="I1478">
            <v>208</v>
          </cell>
        </row>
        <row r="1479">
          <cell r="C1479" t="str">
            <v>96302AG001</v>
          </cell>
          <cell r="D1479">
            <v>1</v>
          </cell>
          <cell r="E1479">
            <v>0</v>
          </cell>
          <cell r="F1479">
            <v>513</v>
          </cell>
          <cell r="G1479" t="str">
            <v>DD/M</v>
          </cell>
          <cell r="H1479" t="str">
            <v>G160</v>
          </cell>
          <cell r="I1479">
            <v>208</v>
          </cell>
        </row>
        <row r="1480">
          <cell r="C1480" t="str">
            <v>96302AG002</v>
          </cell>
          <cell r="D1480">
            <v>1</v>
          </cell>
          <cell r="E1480">
            <v>0</v>
          </cell>
          <cell r="F1480">
            <v>513</v>
          </cell>
          <cell r="G1480" t="str">
            <v>DD/M</v>
          </cell>
          <cell r="H1480" t="str">
            <v>G160</v>
          </cell>
          <cell r="I1480">
            <v>208</v>
          </cell>
        </row>
        <row r="1481">
          <cell r="C1481" t="str">
            <v>96302AG003</v>
          </cell>
          <cell r="D1481">
            <v>1</v>
          </cell>
          <cell r="E1481">
            <v>0</v>
          </cell>
          <cell r="F1481">
            <v>513</v>
          </cell>
          <cell r="G1481" t="str">
            <v>DD/M</v>
          </cell>
          <cell r="H1481" t="str">
            <v>G160</v>
          </cell>
          <cell r="I1481">
            <v>208</v>
          </cell>
        </row>
        <row r="1482">
          <cell r="C1482" t="str">
            <v>96302AG004</v>
          </cell>
          <cell r="D1482">
            <v>1</v>
          </cell>
          <cell r="E1482">
            <v>0</v>
          </cell>
          <cell r="F1482">
            <v>513</v>
          </cell>
          <cell r="G1482" t="str">
            <v>DD/M</v>
          </cell>
          <cell r="H1482" t="str">
            <v>G160</v>
          </cell>
          <cell r="I1482">
            <v>208</v>
          </cell>
        </row>
        <row r="1483">
          <cell r="C1483" t="str">
            <v>96302AG005</v>
          </cell>
          <cell r="D1483">
            <v>1</v>
          </cell>
          <cell r="E1483">
            <v>0</v>
          </cell>
          <cell r="F1483">
            <v>513</v>
          </cell>
          <cell r="G1483" t="str">
            <v>DD/M</v>
          </cell>
          <cell r="H1483" t="str">
            <v>G160</v>
          </cell>
          <cell r="I1483">
            <v>208</v>
          </cell>
        </row>
        <row r="1484">
          <cell r="C1484" t="str">
            <v>96302AG006</v>
          </cell>
          <cell r="D1484">
            <v>1</v>
          </cell>
          <cell r="E1484">
            <v>0</v>
          </cell>
          <cell r="F1484">
            <v>513</v>
          </cell>
          <cell r="G1484" t="str">
            <v>DD/M</v>
          </cell>
          <cell r="H1484" t="str">
            <v>G160</v>
          </cell>
          <cell r="I1484">
            <v>208</v>
          </cell>
        </row>
        <row r="1485">
          <cell r="C1485" t="str">
            <v>96302AG007</v>
          </cell>
          <cell r="D1485">
            <v>1</v>
          </cell>
          <cell r="E1485">
            <v>0</v>
          </cell>
          <cell r="F1485">
            <v>513</v>
          </cell>
          <cell r="G1485" t="str">
            <v>DD/M</v>
          </cell>
          <cell r="H1485" t="str">
            <v>G160</v>
          </cell>
          <cell r="I1485">
            <v>208</v>
          </cell>
        </row>
        <row r="1486">
          <cell r="C1486" t="str">
            <v>96302AG008</v>
          </cell>
          <cell r="D1486">
            <v>1</v>
          </cell>
          <cell r="E1486">
            <v>0</v>
          </cell>
          <cell r="F1486">
            <v>513</v>
          </cell>
          <cell r="G1486" t="str">
            <v>DD/M</v>
          </cell>
          <cell r="H1486" t="str">
            <v>G160</v>
          </cell>
          <cell r="I1486">
            <v>208</v>
          </cell>
        </row>
        <row r="1487">
          <cell r="C1487" t="str">
            <v>96302AG009</v>
          </cell>
          <cell r="D1487">
            <v>1</v>
          </cell>
          <cell r="E1487">
            <v>0</v>
          </cell>
          <cell r="F1487">
            <v>513</v>
          </cell>
          <cell r="G1487" t="str">
            <v>DD/M</v>
          </cell>
          <cell r="H1487" t="str">
            <v>G160</v>
          </cell>
          <cell r="I1487">
            <v>208</v>
          </cell>
        </row>
        <row r="1488">
          <cell r="C1488" t="str">
            <v>96302AG010</v>
          </cell>
          <cell r="D1488">
            <v>1</v>
          </cell>
          <cell r="E1488">
            <v>0</v>
          </cell>
          <cell r="F1488">
            <v>513</v>
          </cell>
          <cell r="G1488" t="str">
            <v>DD/M</v>
          </cell>
          <cell r="H1488" t="str">
            <v>G160</v>
          </cell>
          <cell r="I1488">
            <v>208</v>
          </cell>
        </row>
        <row r="1489">
          <cell r="C1489" t="str">
            <v>96302AG011</v>
          </cell>
          <cell r="D1489">
            <v>1</v>
          </cell>
          <cell r="E1489">
            <v>0</v>
          </cell>
          <cell r="F1489">
            <v>513</v>
          </cell>
          <cell r="G1489" t="str">
            <v>DD/M</v>
          </cell>
          <cell r="H1489" t="str">
            <v>G160</v>
          </cell>
          <cell r="I1489">
            <v>208</v>
          </cell>
        </row>
        <row r="1490">
          <cell r="C1490" t="str">
            <v>96302AG013</v>
          </cell>
          <cell r="D1490">
            <v>1</v>
          </cell>
          <cell r="E1490">
            <v>0</v>
          </cell>
          <cell r="F1490">
            <v>513</v>
          </cell>
          <cell r="G1490" t="str">
            <v>DD/M</v>
          </cell>
          <cell r="H1490" t="str">
            <v>G160</v>
          </cell>
          <cell r="I1490">
            <v>50</v>
          </cell>
        </row>
        <row r="1491">
          <cell r="C1491" t="str">
            <v>96302AG100</v>
          </cell>
          <cell r="D1491">
            <v>1</v>
          </cell>
          <cell r="E1491">
            <v>0</v>
          </cell>
          <cell r="F1491">
            <v>513</v>
          </cell>
          <cell r="G1491" t="str">
            <v>F/M</v>
          </cell>
          <cell r="H1491" t="str">
            <v>G150</v>
          </cell>
          <cell r="I1491">
            <v>10</v>
          </cell>
        </row>
        <row r="1492">
          <cell r="C1492" t="str">
            <v>96302AG200</v>
          </cell>
          <cell r="D1492">
            <v>1</v>
          </cell>
          <cell r="E1492">
            <v>0</v>
          </cell>
          <cell r="F1492">
            <v>513</v>
          </cell>
          <cell r="G1492" t="str">
            <v>DD/M</v>
          </cell>
          <cell r="H1492" t="str">
            <v>G160</v>
          </cell>
          <cell r="I1492">
            <v>208</v>
          </cell>
        </row>
        <row r="1493">
          <cell r="C1493" t="str">
            <v>96302AG201</v>
          </cell>
          <cell r="D1493">
            <v>1</v>
          </cell>
          <cell r="E1493">
            <v>0</v>
          </cell>
          <cell r="F1493">
            <v>513</v>
          </cell>
          <cell r="G1493" t="str">
            <v>DD/M</v>
          </cell>
          <cell r="H1493" t="str">
            <v>G160</v>
          </cell>
          <cell r="I1493">
            <v>208</v>
          </cell>
        </row>
        <row r="1494">
          <cell r="C1494" t="str">
            <v>96302AG202</v>
          </cell>
          <cell r="D1494">
            <v>1</v>
          </cell>
          <cell r="E1494">
            <v>0</v>
          </cell>
          <cell r="F1494">
            <v>513</v>
          </cell>
          <cell r="G1494" t="str">
            <v>DD/M</v>
          </cell>
          <cell r="H1494" t="str">
            <v>G160</v>
          </cell>
          <cell r="I1494">
            <v>208</v>
          </cell>
        </row>
        <row r="1495">
          <cell r="C1495" t="str">
            <v>96302AG203</v>
          </cell>
          <cell r="D1495">
            <v>1</v>
          </cell>
          <cell r="E1495">
            <v>0</v>
          </cell>
          <cell r="F1495">
            <v>513</v>
          </cell>
          <cell r="G1495" t="str">
            <v>DD/M</v>
          </cell>
          <cell r="H1495" t="str">
            <v>G160</v>
          </cell>
          <cell r="I1495">
            <v>208</v>
          </cell>
        </row>
        <row r="1496">
          <cell r="C1496" t="str">
            <v>96302AG204</v>
          </cell>
          <cell r="D1496">
            <v>1</v>
          </cell>
          <cell r="E1496">
            <v>0</v>
          </cell>
          <cell r="F1496">
            <v>513</v>
          </cell>
          <cell r="G1496" t="str">
            <v>DD/M</v>
          </cell>
          <cell r="H1496" t="str">
            <v>G160</v>
          </cell>
          <cell r="I1496">
            <v>208</v>
          </cell>
        </row>
        <row r="1497">
          <cell r="C1497" t="str">
            <v>96302AG205</v>
          </cell>
          <cell r="D1497">
            <v>1</v>
          </cell>
          <cell r="E1497">
            <v>0</v>
          </cell>
          <cell r="F1497">
            <v>513</v>
          </cell>
          <cell r="G1497" t="str">
            <v>DD/M</v>
          </cell>
          <cell r="H1497" t="str">
            <v>G160</v>
          </cell>
          <cell r="I1497">
            <v>208</v>
          </cell>
        </row>
        <row r="1498">
          <cell r="C1498" t="str">
            <v>96302AG206</v>
          </cell>
          <cell r="D1498">
            <v>1</v>
          </cell>
          <cell r="E1498">
            <v>0</v>
          </cell>
          <cell r="F1498">
            <v>513</v>
          </cell>
          <cell r="G1498" t="str">
            <v>DD/M</v>
          </cell>
          <cell r="H1498" t="str">
            <v>G160</v>
          </cell>
          <cell r="I1498">
            <v>208</v>
          </cell>
        </row>
        <row r="1499">
          <cell r="C1499" t="str">
            <v>96302AG207</v>
          </cell>
          <cell r="D1499">
            <v>1</v>
          </cell>
          <cell r="E1499">
            <v>0</v>
          </cell>
          <cell r="F1499">
            <v>513</v>
          </cell>
          <cell r="G1499" t="str">
            <v>DD/M</v>
          </cell>
          <cell r="H1499" t="str">
            <v>G160</v>
          </cell>
          <cell r="I1499">
            <v>208</v>
          </cell>
        </row>
        <row r="1500">
          <cell r="C1500" t="str">
            <v>96302AG208</v>
          </cell>
          <cell r="D1500">
            <v>1</v>
          </cell>
          <cell r="E1500">
            <v>0</v>
          </cell>
          <cell r="F1500">
            <v>513</v>
          </cell>
          <cell r="G1500" t="str">
            <v>DD/M</v>
          </cell>
          <cell r="H1500" t="str">
            <v>G160</v>
          </cell>
          <cell r="I1500">
            <v>208</v>
          </cell>
        </row>
        <row r="1501">
          <cell r="C1501" t="str">
            <v>96302AG209</v>
          </cell>
          <cell r="D1501">
            <v>1</v>
          </cell>
          <cell r="E1501">
            <v>0</v>
          </cell>
          <cell r="F1501">
            <v>513</v>
          </cell>
          <cell r="G1501" t="str">
            <v>DD/M</v>
          </cell>
          <cell r="H1501" t="str">
            <v>G160</v>
          </cell>
          <cell r="I1501">
            <v>208</v>
          </cell>
        </row>
        <row r="1502">
          <cell r="C1502" t="str">
            <v>96302AG210</v>
          </cell>
          <cell r="D1502">
            <v>1</v>
          </cell>
          <cell r="E1502">
            <v>0</v>
          </cell>
          <cell r="F1502">
            <v>513</v>
          </cell>
          <cell r="G1502" t="str">
            <v>DD/M</v>
          </cell>
          <cell r="H1502" t="str">
            <v>G160</v>
          </cell>
          <cell r="I1502">
            <v>208</v>
          </cell>
        </row>
        <row r="1503">
          <cell r="C1503" t="str">
            <v>96302AG211</v>
          </cell>
          <cell r="D1503">
            <v>1</v>
          </cell>
          <cell r="E1503">
            <v>0</v>
          </cell>
          <cell r="F1503">
            <v>513</v>
          </cell>
          <cell r="G1503" t="str">
            <v>DD/M</v>
          </cell>
          <cell r="H1503" t="str">
            <v>G160</v>
          </cell>
          <cell r="I1503">
            <v>208</v>
          </cell>
        </row>
        <row r="1504">
          <cell r="C1504" t="str">
            <v>96302AG213</v>
          </cell>
          <cell r="D1504">
            <v>1</v>
          </cell>
          <cell r="E1504">
            <v>0</v>
          </cell>
          <cell r="F1504">
            <v>513</v>
          </cell>
          <cell r="G1504" t="str">
            <v>DD/M</v>
          </cell>
          <cell r="H1504" t="str">
            <v>G230</v>
          </cell>
          <cell r="I1504">
            <v>50</v>
          </cell>
        </row>
        <row r="1505">
          <cell r="C1505" t="str">
            <v>96305AG100</v>
          </cell>
          <cell r="D1505">
            <v>1</v>
          </cell>
          <cell r="E1505">
            <v>0</v>
          </cell>
          <cell r="F1505">
            <v>513</v>
          </cell>
          <cell r="G1505" t="str">
            <v>REINF</v>
          </cell>
          <cell r="H1505" t="str">
            <v>G059</v>
          </cell>
          <cell r="I1505">
            <v>10</v>
          </cell>
        </row>
        <row r="1506">
          <cell r="C1506" t="str">
            <v>96306AG100</v>
          </cell>
          <cell r="D1506">
            <v>1</v>
          </cell>
          <cell r="E1506">
            <v>0</v>
          </cell>
          <cell r="F1506">
            <v>513</v>
          </cell>
          <cell r="G1506" t="str">
            <v>REINF</v>
          </cell>
          <cell r="H1506" t="str">
            <v>G059</v>
          </cell>
          <cell r="I1506">
            <v>10</v>
          </cell>
        </row>
        <row r="1507">
          <cell r="C1507" t="str">
            <v>96321AG101</v>
          </cell>
          <cell r="D1507">
            <v>1</v>
          </cell>
          <cell r="E1507">
            <v>0</v>
          </cell>
          <cell r="F1507">
            <v>563</v>
          </cell>
          <cell r="G1507">
            <v>0</v>
          </cell>
          <cell r="H1507" t="str">
            <v>H120</v>
          </cell>
          <cell r="I1507">
            <v>300</v>
          </cell>
        </row>
        <row r="1508">
          <cell r="C1508" t="str">
            <v>96321AG201</v>
          </cell>
          <cell r="D1508">
            <v>1</v>
          </cell>
          <cell r="E1508">
            <v>0</v>
          </cell>
          <cell r="F1508">
            <v>563</v>
          </cell>
          <cell r="G1508" t="str">
            <v>GP/M</v>
          </cell>
          <cell r="H1508" t="str">
            <v>H100</v>
          </cell>
          <cell r="I1508">
            <v>4700</v>
          </cell>
        </row>
        <row r="1509">
          <cell r="C1509" t="str">
            <v>963274M400</v>
          </cell>
          <cell r="D1509">
            <v>3</v>
          </cell>
          <cell r="E1509">
            <v>0</v>
          </cell>
          <cell r="F1509">
            <v>563</v>
          </cell>
          <cell r="G1509" t="str">
            <v>BASE</v>
          </cell>
          <cell r="H1509" t="str">
            <v>H109</v>
          </cell>
          <cell r="I1509">
            <v>5000</v>
          </cell>
        </row>
        <row r="1510">
          <cell r="C1510" t="str">
            <v>96329AG101</v>
          </cell>
          <cell r="D1510">
            <v>1</v>
          </cell>
          <cell r="E1510">
            <v>0</v>
          </cell>
          <cell r="F1510">
            <v>563</v>
          </cell>
          <cell r="G1510" t="str">
            <v>C0VER</v>
          </cell>
          <cell r="H1510" t="str">
            <v>H122</v>
          </cell>
          <cell r="I1510">
            <v>300</v>
          </cell>
        </row>
        <row r="1511">
          <cell r="C1511" t="str">
            <v>96522AG000</v>
          </cell>
          <cell r="D1511">
            <v>1</v>
          </cell>
          <cell r="E1511">
            <v>0</v>
          </cell>
          <cell r="F1511">
            <v>644</v>
          </cell>
          <cell r="G1511" t="str">
            <v>A/T</v>
          </cell>
          <cell r="H1511" t="str">
            <v>L010</v>
          </cell>
          <cell r="I1511">
            <v>5000</v>
          </cell>
        </row>
        <row r="1512">
          <cell r="C1512" t="str">
            <v>96523AG000</v>
          </cell>
          <cell r="D1512">
            <v>1</v>
          </cell>
          <cell r="E1512">
            <v>0</v>
          </cell>
          <cell r="F1512">
            <v>644</v>
          </cell>
          <cell r="G1512" t="str">
            <v>A/T</v>
          </cell>
          <cell r="H1512" t="str">
            <v>L010</v>
          </cell>
          <cell r="I1512">
            <v>5000</v>
          </cell>
        </row>
        <row r="1513">
          <cell r="C1513" t="str">
            <v>969806P002</v>
          </cell>
          <cell r="D1513">
            <v>3</v>
          </cell>
          <cell r="E1513">
            <v>0</v>
          </cell>
          <cell r="F1513">
            <v>415</v>
          </cell>
          <cell r="G1513" t="str">
            <v>C0N/L</v>
          </cell>
          <cell r="H1513">
            <v>0</v>
          </cell>
          <cell r="I1513">
            <v>100</v>
          </cell>
        </row>
        <row r="1514">
          <cell r="C1514" t="str">
            <v>96980AG003</v>
          </cell>
          <cell r="D1514">
            <v>1</v>
          </cell>
          <cell r="E1514">
            <v>0</v>
          </cell>
          <cell r="F1514">
            <v>415</v>
          </cell>
          <cell r="G1514" t="str">
            <v>RFC/L</v>
          </cell>
          <cell r="H1514" t="str">
            <v>D100</v>
          </cell>
          <cell r="I1514">
            <v>30</v>
          </cell>
        </row>
        <row r="1515">
          <cell r="C1515">
            <v>2612090101</v>
          </cell>
          <cell r="D1515">
            <v>1</v>
          </cell>
          <cell r="E1515">
            <v>0</v>
          </cell>
          <cell r="F1515">
            <v>415</v>
          </cell>
          <cell r="G1515" t="str">
            <v>FC/L</v>
          </cell>
          <cell r="H1515" t="str">
            <v>B100</v>
          </cell>
          <cell r="I1515">
            <v>100</v>
          </cell>
        </row>
        <row r="1516">
          <cell r="C1516">
            <v>2612590101</v>
          </cell>
          <cell r="D1516">
            <v>1</v>
          </cell>
          <cell r="E1516">
            <v>0</v>
          </cell>
          <cell r="F1516">
            <v>415</v>
          </cell>
          <cell r="G1516" t="str">
            <v>FC/L</v>
          </cell>
          <cell r="H1516" t="str">
            <v>B100</v>
          </cell>
          <cell r="I1516">
            <v>100</v>
          </cell>
        </row>
        <row r="1517">
          <cell r="C1517" t="str">
            <v>260106T000</v>
          </cell>
          <cell r="D1517">
            <v>1</v>
          </cell>
          <cell r="E1517">
            <v>0</v>
          </cell>
          <cell r="F1517">
            <v>155</v>
          </cell>
          <cell r="G1517" t="str">
            <v>H/L</v>
          </cell>
          <cell r="H1517" t="str">
            <v>A190</v>
          </cell>
          <cell r="I1517">
            <v>1640</v>
          </cell>
        </row>
        <row r="1518">
          <cell r="C1518" t="str">
            <v>260106T500</v>
          </cell>
          <cell r="D1518">
            <v>1</v>
          </cell>
          <cell r="E1518">
            <v>0</v>
          </cell>
          <cell r="F1518">
            <v>155</v>
          </cell>
          <cell r="G1518" t="str">
            <v>H/L</v>
          </cell>
          <cell r="H1518" t="str">
            <v>A190</v>
          </cell>
          <cell r="I1518">
            <v>100</v>
          </cell>
        </row>
        <row r="1519">
          <cell r="C1519" t="str">
            <v>260606T000</v>
          </cell>
          <cell r="D1519">
            <v>1</v>
          </cell>
          <cell r="E1519">
            <v>0</v>
          </cell>
          <cell r="F1519">
            <v>155</v>
          </cell>
          <cell r="G1519" t="str">
            <v>H/L</v>
          </cell>
          <cell r="H1519" t="str">
            <v>A190</v>
          </cell>
          <cell r="I1519">
            <v>1640</v>
          </cell>
        </row>
        <row r="1520">
          <cell r="C1520" t="str">
            <v>260606T500</v>
          </cell>
          <cell r="D1520">
            <v>1</v>
          </cell>
          <cell r="E1520">
            <v>0</v>
          </cell>
          <cell r="F1520">
            <v>155</v>
          </cell>
          <cell r="G1520" t="str">
            <v>H/L</v>
          </cell>
          <cell r="H1520" t="str">
            <v>A190</v>
          </cell>
          <cell r="I1520">
            <v>100</v>
          </cell>
        </row>
        <row r="1521">
          <cell r="C1521" t="str">
            <v>261206T000</v>
          </cell>
          <cell r="D1521">
            <v>1</v>
          </cell>
          <cell r="E1521">
            <v>0</v>
          </cell>
          <cell r="F1521">
            <v>415</v>
          </cell>
          <cell r="G1521" t="str">
            <v>FC/L</v>
          </cell>
          <cell r="H1521" t="str">
            <v>B100</v>
          </cell>
          <cell r="I1521">
            <v>1640</v>
          </cell>
        </row>
        <row r="1522">
          <cell r="C1522" t="str">
            <v>261206T500</v>
          </cell>
          <cell r="D1522">
            <v>1</v>
          </cell>
          <cell r="E1522">
            <v>0</v>
          </cell>
          <cell r="F1522">
            <v>415</v>
          </cell>
          <cell r="G1522" t="str">
            <v>FC/L</v>
          </cell>
          <cell r="H1522" t="str">
            <v>B100</v>
          </cell>
          <cell r="I1522">
            <v>100</v>
          </cell>
        </row>
        <row r="1523">
          <cell r="C1523" t="str">
            <v>261256T000</v>
          </cell>
          <cell r="D1523">
            <v>1</v>
          </cell>
          <cell r="E1523">
            <v>0</v>
          </cell>
          <cell r="F1523">
            <v>415</v>
          </cell>
          <cell r="G1523" t="str">
            <v>FC/L</v>
          </cell>
          <cell r="H1523" t="str">
            <v>B100</v>
          </cell>
          <cell r="I1523">
            <v>1640</v>
          </cell>
        </row>
        <row r="1524">
          <cell r="C1524" t="str">
            <v>261256T500</v>
          </cell>
          <cell r="D1524">
            <v>1</v>
          </cell>
          <cell r="E1524">
            <v>0</v>
          </cell>
          <cell r="F1524">
            <v>415</v>
          </cell>
          <cell r="G1524" t="str">
            <v>FC/L</v>
          </cell>
          <cell r="H1524" t="str">
            <v>B100</v>
          </cell>
          <cell r="I1524">
            <v>100</v>
          </cell>
        </row>
        <row r="1525">
          <cell r="C1525" t="str">
            <v>264206T000</v>
          </cell>
          <cell r="D1525">
            <v>3</v>
          </cell>
          <cell r="E1525">
            <v>0</v>
          </cell>
          <cell r="F1525">
            <v>415</v>
          </cell>
          <cell r="G1525" t="str">
            <v>STEP/L</v>
          </cell>
          <cell r="H1525" t="str">
            <v>E000</v>
          </cell>
          <cell r="I1525">
            <v>1500</v>
          </cell>
        </row>
        <row r="1526">
          <cell r="C1526" t="str">
            <v>264206T500</v>
          </cell>
          <cell r="D1526">
            <v>3</v>
          </cell>
          <cell r="E1526">
            <v>0</v>
          </cell>
          <cell r="F1526">
            <v>415</v>
          </cell>
          <cell r="G1526" t="str">
            <v>STEP/L</v>
          </cell>
          <cell r="H1526" t="str">
            <v>E000</v>
          </cell>
          <cell r="I1526">
            <v>200</v>
          </cell>
        </row>
        <row r="1527">
          <cell r="C1527" t="str">
            <v>805955T000</v>
          </cell>
          <cell r="D1527">
            <v>2</v>
          </cell>
          <cell r="E1527">
            <v>0</v>
          </cell>
          <cell r="F1527">
            <v>754</v>
          </cell>
          <cell r="G1527" t="str">
            <v>KNOB</v>
          </cell>
          <cell r="H1527" t="str">
            <v>Q200</v>
          </cell>
          <cell r="I1527">
            <v>4000</v>
          </cell>
        </row>
        <row r="1528">
          <cell r="C1528" t="str">
            <v>963115T071</v>
          </cell>
          <cell r="D1528">
            <v>2</v>
          </cell>
          <cell r="E1528">
            <v>0</v>
          </cell>
          <cell r="F1528">
            <v>513</v>
          </cell>
          <cell r="G1528" t="str">
            <v>O/M</v>
          </cell>
        </row>
        <row r="1529">
          <cell r="C1529" t="str">
            <v>963115T073</v>
          </cell>
          <cell r="D1529">
            <v>2</v>
          </cell>
          <cell r="E1529">
            <v>0</v>
          </cell>
          <cell r="F1529">
            <v>513</v>
          </cell>
          <cell r="G1529" t="str">
            <v>O/M</v>
          </cell>
        </row>
        <row r="1530">
          <cell r="C1530" t="str">
            <v>963216T000</v>
          </cell>
          <cell r="D1530">
            <v>2</v>
          </cell>
          <cell r="E1530">
            <v>0</v>
          </cell>
          <cell r="F1530">
            <v>563</v>
          </cell>
          <cell r="G1530" t="str">
            <v>I/M</v>
          </cell>
          <cell r="H1530" t="str">
            <v>H000</v>
          </cell>
          <cell r="I1530">
            <v>1565</v>
          </cell>
        </row>
        <row r="1531">
          <cell r="C1531" t="str">
            <v>963216T900</v>
          </cell>
          <cell r="D1531">
            <v>2</v>
          </cell>
          <cell r="E1531">
            <v>0</v>
          </cell>
          <cell r="F1531">
            <v>563</v>
          </cell>
          <cell r="G1531" t="str">
            <v>I/M</v>
          </cell>
          <cell r="H1531" t="str">
            <v>H000</v>
          </cell>
          <cell r="I1531">
            <v>200</v>
          </cell>
        </row>
        <row r="1532">
          <cell r="C1532" t="str">
            <v>963236T000</v>
          </cell>
          <cell r="D1532">
            <v>1</v>
          </cell>
          <cell r="E1532">
            <v>0</v>
          </cell>
          <cell r="F1532">
            <v>563</v>
          </cell>
          <cell r="G1532" t="str">
            <v>SUBA</v>
          </cell>
          <cell r="H1532" t="str">
            <v>H009</v>
          </cell>
          <cell r="I1532">
            <v>1565</v>
          </cell>
        </row>
        <row r="1533">
          <cell r="C1533" t="str">
            <v>963236T900</v>
          </cell>
          <cell r="D1533">
            <v>1</v>
          </cell>
          <cell r="E1533">
            <v>0</v>
          </cell>
          <cell r="F1533">
            <v>563</v>
          </cell>
          <cell r="G1533" t="str">
            <v>SUBA</v>
          </cell>
          <cell r="H1533" t="str">
            <v>H009</v>
          </cell>
          <cell r="I1533">
            <v>200</v>
          </cell>
        </row>
        <row r="1534">
          <cell r="C1534" t="str">
            <v>963276T000</v>
          </cell>
          <cell r="D1534">
            <v>1</v>
          </cell>
          <cell r="E1534">
            <v>0</v>
          </cell>
          <cell r="F1534">
            <v>563</v>
          </cell>
          <cell r="G1534" t="str">
            <v>BASE</v>
          </cell>
          <cell r="H1534" t="str">
            <v>H009</v>
          </cell>
          <cell r="I1534">
            <v>1565</v>
          </cell>
        </row>
        <row r="1535">
          <cell r="C1535" t="str">
            <v>963276T900</v>
          </cell>
          <cell r="D1535">
            <v>1</v>
          </cell>
          <cell r="E1535">
            <v>0</v>
          </cell>
          <cell r="F1535">
            <v>563</v>
          </cell>
          <cell r="G1535" t="str">
            <v>BASE</v>
          </cell>
          <cell r="H1535" t="str">
            <v>H009</v>
          </cell>
          <cell r="I1535">
            <v>200</v>
          </cell>
        </row>
        <row r="1536">
          <cell r="C1536" t="str">
            <v>26010WD000</v>
          </cell>
          <cell r="D1536">
            <v>1</v>
          </cell>
          <cell r="E1536">
            <v>0</v>
          </cell>
          <cell r="F1536">
            <v>155</v>
          </cell>
          <cell r="G1536" t="str">
            <v>H/L</v>
          </cell>
          <cell r="H1536" t="str">
            <v>A190</v>
          </cell>
          <cell r="I1536">
            <v>2500</v>
          </cell>
        </row>
        <row r="1537">
          <cell r="C1537" t="str">
            <v>26010WD200</v>
          </cell>
          <cell r="D1537">
            <v>1</v>
          </cell>
          <cell r="E1537">
            <v>0</v>
          </cell>
          <cell r="F1537">
            <v>155</v>
          </cell>
          <cell r="G1537" t="str">
            <v>H/L</v>
          </cell>
          <cell r="H1537" t="str">
            <v>A190</v>
          </cell>
          <cell r="I1537">
            <v>3900</v>
          </cell>
        </row>
        <row r="1538">
          <cell r="C1538" t="str">
            <v>26010WD400</v>
          </cell>
          <cell r="D1538">
            <v>1</v>
          </cell>
          <cell r="E1538">
            <v>0</v>
          </cell>
          <cell r="F1538">
            <v>155</v>
          </cell>
          <cell r="G1538" t="str">
            <v>H/L</v>
          </cell>
          <cell r="H1538" t="str">
            <v>A190</v>
          </cell>
          <cell r="I1538">
            <v>300</v>
          </cell>
        </row>
        <row r="1539">
          <cell r="C1539" t="str">
            <v>26010WD420</v>
          </cell>
          <cell r="D1539">
            <v>1</v>
          </cell>
          <cell r="E1539">
            <v>0</v>
          </cell>
          <cell r="F1539">
            <v>155</v>
          </cell>
          <cell r="G1539" t="str">
            <v>H/L</v>
          </cell>
          <cell r="H1539" t="str">
            <v>A190</v>
          </cell>
          <cell r="I1539">
            <v>300</v>
          </cell>
        </row>
        <row r="1540">
          <cell r="C1540" t="str">
            <v>26060WD000</v>
          </cell>
          <cell r="D1540">
            <v>1</v>
          </cell>
          <cell r="E1540">
            <v>0</v>
          </cell>
          <cell r="F1540">
            <v>155</v>
          </cell>
          <cell r="G1540" t="str">
            <v>H/L</v>
          </cell>
          <cell r="H1540" t="str">
            <v>A190</v>
          </cell>
          <cell r="I1540">
            <v>2500</v>
          </cell>
        </row>
        <row r="1541">
          <cell r="C1541" t="str">
            <v>26060WD200</v>
          </cell>
          <cell r="D1541">
            <v>1</v>
          </cell>
          <cell r="E1541">
            <v>0</v>
          </cell>
          <cell r="F1541">
            <v>155</v>
          </cell>
          <cell r="G1541" t="str">
            <v>H/L</v>
          </cell>
          <cell r="H1541" t="str">
            <v>A190</v>
          </cell>
          <cell r="I1541">
            <v>3900</v>
          </cell>
        </row>
        <row r="1542">
          <cell r="C1542" t="str">
            <v>26060WD400</v>
          </cell>
          <cell r="D1542">
            <v>1</v>
          </cell>
          <cell r="E1542">
            <v>0</v>
          </cell>
          <cell r="F1542">
            <v>155</v>
          </cell>
          <cell r="G1542" t="str">
            <v>H/L</v>
          </cell>
          <cell r="H1542" t="str">
            <v>A190</v>
          </cell>
          <cell r="I1542">
            <v>300</v>
          </cell>
        </row>
        <row r="1543">
          <cell r="C1543" t="str">
            <v>26060WD420</v>
          </cell>
          <cell r="D1543">
            <v>1</v>
          </cell>
          <cell r="E1543">
            <v>0</v>
          </cell>
          <cell r="F1543">
            <v>155</v>
          </cell>
          <cell r="G1543" t="str">
            <v>H/L</v>
          </cell>
          <cell r="H1543" t="str">
            <v>A190</v>
          </cell>
          <cell r="I1543">
            <v>300</v>
          </cell>
        </row>
        <row r="1544">
          <cell r="C1544" t="str">
            <v>26110WD000</v>
          </cell>
          <cell r="D1544">
            <v>1</v>
          </cell>
          <cell r="E1544">
            <v>0</v>
          </cell>
          <cell r="F1544">
            <v>415</v>
          </cell>
          <cell r="G1544" t="str">
            <v>SC/L</v>
          </cell>
        </row>
        <row r="1545">
          <cell r="C1545" t="str">
            <v>26110WD200</v>
          </cell>
          <cell r="D1545">
            <v>1</v>
          </cell>
          <cell r="E1545">
            <v>0</v>
          </cell>
          <cell r="F1545">
            <v>415</v>
          </cell>
          <cell r="G1545" t="str">
            <v>SC/L</v>
          </cell>
        </row>
        <row r="1546">
          <cell r="C1546" t="str">
            <v>26115WD000</v>
          </cell>
          <cell r="D1546">
            <v>1</v>
          </cell>
          <cell r="E1546">
            <v>0</v>
          </cell>
          <cell r="F1546">
            <v>415</v>
          </cell>
          <cell r="G1546" t="str">
            <v>SC/L</v>
          </cell>
        </row>
        <row r="1547">
          <cell r="C1547" t="str">
            <v>26115WD200</v>
          </cell>
          <cell r="D1547">
            <v>1</v>
          </cell>
          <cell r="E1547">
            <v>0</v>
          </cell>
          <cell r="F1547">
            <v>415</v>
          </cell>
          <cell r="G1547" t="str">
            <v>SC/L</v>
          </cell>
        </row>
        <row r="1548">
          <cell r="C1548" t="str">
            <v>26150WA000</v>
          </cell>
          <cell r="D1548">
            <v>3</v>
          </cell>
          <cell r="E1548">
            <v>0</v>
          </cell>
          <cell r="F1548">
            <v>415</v>
          </cell>
          <cell r="G1548" t="str">
            <v>F/L</v>
          </cell>
          <cell r="H1548">
            <v>0</v>
          </cell>
          <cell r="I1548">
            <v>300</v>
          </cell>
        </row>
        <row r="1549">
          <cell r="C1549" t="str">
            <v>26150WD400</v>
          </cell>
          <cell r="D1549">
            <v>1</v>
          </cell>
          <cell r="E1549">
            <v>0</v>
          </cell>
          <cell r="F1549">
            <v>415</v>
          </cell>
          <cell r="G1549" t="str">
            <v>F/L</v>
          </cell>
          <cell r="H1549" t="str">
            <v>D300</v>
          </cell>
          <cell r="I1549">
            <v>300</v>
          </cell>
        </row>
        <row r="1550">
          <cell r="C1550" t="str">
            <v>26155WA000</v>
          </cell>
          <cell r="D1550">
            <v>3</v>
          </cell>
          <cell r="E1550">
            <v>0</v>
          </cell>
          <cell r="F1550">
            <v>415</v>
          </cell>
          <cell r="G1550" t="str">
            <v>F/L</v>
          </cell>
          <cell r="H1550">
            <v>0</v>
          </cell>
          <cell r="I1550">
            <v>300</v>
          </cell>
        </row>
        <row r="1551">
          <cell r="C1551" t="str">
            <v>26155WD400</v>
          </cell>
          <cell r="D1551">
            <v>1</v>
          </cell>
          <cell r="E1551">
            <v>0</v>
          </cell>
          <cell r="F1551">
            <v>415</v>
          </cell>
          <cell r="G1551" t="str">
            <v>F/L</v>
          </cell>
          <cell r="H1551" t="str">
            <v>D300</v>
          </cell>
          <cell r="I1551">
            <v>300</v>
          </cell>
        </row>
        <row r="1552">
          <cell r="C1552" t="str">
            <v>264100V000</v>
          </cell>
          <cell r="D1552">
            <v>3</v>
          </cell>
          <cell r="E1552">
            <v>0</v>
          </cell>
          <cell r="F1552">
            <v>415</v>
          </cell>
          <cell r="G1552" t="str">
            <v>R/L</v>
          </cell>
          <cell r="H1552">
            <v>0</v>
          </cell>
          <cell r="I1552">
            <v>6700</v>
          </cell>
        </row>
        <row r="1553">
          <cell r="C1553" t="str">
            <v>264303J000</v>
          </cell>
          <cell r="D1553">
            <v>3</v>
          </cell>
          <cell r="E1553">
            <v>0</v>
          </cell>
          <cell r="F1553">
            <v>415</v>
          </cell>
          <cell r="G1553" t="str">
            <v>MAP/L</v>
          </cell>
          <cell r="H1553">
            <v>0</v>
          </cell>
          <cell r="I1553">
            <v>6700</v>
          </cell>
        </row>
        <row r="1554">
          <cell r="C1554" t="str">
            <v>26430WA000</v>
          </cell>
          <cell r="D1554">
            <v>3</v>
          </cell>
          <cell r="E1554">
            <v>0</v>
          </cell>
          <cell r="F1554">
            <v>415</v>
          </cell>
          <cell r="G1554" t="str">
            <v>AAP/L</v>
          </cell>
          <cell r="H1554">
            <v>0</v>
          </cell>
          <cell r="I1554">
            <v>100</v>
          </cell>
        </row>
        <row r="1555">
          <cell r="C1555" t="str">
            <v>26510WD000</v>
          </cell>
          <cell r="D1555">
            <v>1</v>
          </cell>
          <cell r="E1555">
            <v>0</v>
          </cell>
          <cell r="F1555">
            <v>415</v>
          </cell>
          <cell r="G1555" t="str">
            <v>L/L</v>
          </cell>
          <cell r="H1555" t="str">
            <v>D000</v>
          </cell>
          <cell r="I1555">
            <v>6700</v>
          </cell>
        </row>
        <row r="1556">
          <cell r="C1556" t="str">
            <v>288826J000</v>
          </cell>
          <cell r="D1556">
            <v>1</v>
          </cell>
          <cell r="E1556">
            <v>0</v>
          </cell>
          <cell r="F1556">
            <v>714</v>
          </cell>
          <cell r="G1556" t="str">
            <v>W/ACAP</v>
          </cell>
          <cell r="H1556" t="str">
            <v>K029</v>
          </cell>
          <cell r="I1556">
            <v>8700</v>
          </cell>
        </row>
        <row r="1557">
          <cell r="C1557" t="str">
            <v>96301WD000</v>
          </cell>
          <cell r="D1557">
            <v>2</v>
          </cell>
          <cell r="E1557">
            <v>0</v>
          </cell>
          <cell r="F1557">
            <v>513</v>
          </cell>
          <cell r="G1557" t="str">
            <v>D/M</v>
          </cell>
          <cell r="H1557" t="str">
            <v>G160</v>
          </cell>
          <cell r="I1557">
            <v>2535</v>
          </cell>
        </row>
        <row r="1558">
          <cell r="C1558" t="str">
            <v>96301WD005</v>
          </cell>
          <cell r="D1558">
            <v>2</v>
          </cell>
          <cell r="E1558">
            <v>0</v>
          </cell>
          <cell r="F1558">
            <v>513</v>
          </cell>
          <cell r="G1558" t="str">
            <v>D/M</v>
          </cell>
          <cell r="H1558" t="str">
            <v>G160</v>
          </cell>
          <cell r="I1558">
            <v>10</v>
          </cell>
        </row>
        <row r="1559">
          <cell r="C1559" t="str">
            <v>96301WD010</v>
          </cell>
          <cell r="D1559">
            <v>2</v>
          </cell>
          <cell r="E1559">
            <v>0</v>
          </cell>
          <cell r="F1559">
            <v>513</v>
          </cell>
          <cell r="G1559" t="str">
            <v>D/M</v>
          </cell>
          <cell r="H1559" t="str">
            <v>G160</v>
          </cell>
          <cell r="I1559">
            <v>10</v>
          </cell>
        </row>
        <row r="1560">
          <cell r="C1560" t="str">
            <v>96301WD015</v>
          </cell>
          <cell r="D1560">
            <v>2</v>
          </cell>
          <cell r="E1560">
            <v>0</v>
          </cell>
          <cell r="F1560">
            <v>513</v>
          </cell>
          <cell r="G1560" t="str">
            <v>D/M</v>
          </cell>
          <cell r="H1560" t="str">
            <v>G230</v>
          </cell>
          <cell r="I1560">
            <v>100</v>
          </cell>
        </row>
        <row r="1561">
          <cell r="C1561" t="str">
            <v>96301WD060</v>
          </cell>
          <cell r="D1561">
            <v>2</v>
          </cell>
          <cell r="E1561">
            <v>0</v>
          </cell>
          <cell r="F1561">
            <v>513</v>
          </cell>
          <cell r="G1561" t="str">
            <v>D/M</v>
          </cell>
          <cell r="H1561" t="str">
            <v>G230</v>
          </cell>
          <cell r="I1561">
            <v>100</v>
          </cell>
        </row>
        <row r="1562">
          <cell r="C1562" t="str">
            <v>96301WD065</v>
          </cell>
          <cell r="D1562">
            <v>2</v>
          </cell>
          <cell r="E1562">
            <v>0</v>
          </cell>
          <cell r="F1562">
            <v>513</v>
          </cell>
          <cell r="G1562" t="str">
            <v>D/M</v>
          </cell>
          <cell r="H1562" t="str">
            <v>G230</v>
          </cell>
          <cell r="I1562">
            <v>100</v>
          </cell>
        </row>
        <row r="1563">
          <cell r="C1563" t="str">
            <v>96301WD070</v>
          </cell>
          <cell r="D1563">
            <v>2</v>
          </cell>
          <cell r="E1563">
            <v>0</v>
          </cell>
          <cell r="F1563">
            <v>513</v>
          </cell>
          <cell r="G1563" t="str">
            <v>D/M</v>
          </cell>
          <cell r="H1563" t="str">
            <v>G230</v>
          </cell>
          <cell r="I1563">
            <v>100</v>
          </cell>
        </row>
        <row r="1564">
          <cell r="C1564" t="str">
            <v>96301WD075</v>
          </cell>
          <cell r="D1564">
            <v>2</v>
          </cell>
          <cell r="E1564">
            <v>0</v>
          </cell>
          <cell r="F1564">
            <v>513</v>
          </cell>
          <cell r="G1564" t="str">
            <v>D/M</v>
          </cell>
          <cell r="H1564" t="str">
            <v>G230</v>
          </cell>
          <cell r="I1564">
            <v>100</v>
          </cell>
        </row>
        <row r="1565">
          <cell r="C1565" t="str">
            <v>96301WD100</v>
          </cell>
          <cell r="D1565">
            <v>2</v>
          </cell>
          <cell r="E1565">
            <v>0</v>
          </cell>
          <cell r="F1565">
            <v>513</v>
          </cell>
          <cell r="G1565" t="str">
            <v>D/M</v>
          </cell>
          <cell r="H1565" t="str">
            <v>G160</v>
          </cell>
          <cell r="I1565">
            <v>10</v>
          </cell>
        </row>
        <row r="1566">
          <cell r="C1566" t="str">
            <v>96301WD105</v>
          </cell>
          <cell r="D1566">
            <v>2</v>
          </cell>
          <cell r="E1566">
            <v>0</v>
          </cell>
          <cell r="F1566">
            <v>513</v>
          </cell>
          <cell r="G1566" t="str">
            <v>D/M</v>
          </cell>
          <cell r="H1566" t="str">
            <v>G160</v>
          </cell>
          <cell r="I1566">
            <v>10</v>
          </cell>
        </row>
        <row r="1567">
          <cell r="C1567" t="str">
            <v>96301WD110</v>
          </cell>
          <cell r="D1567">
            <v>2</v>
          </cell>
          <cell r="E1567">
            <v>0</v>
          </cell>
          <cell r="F1567">
            <v>513</v>
          </cell>
          <cell r="G1567" t="str">
            <v>D/M</v>
          </cell>
          <cell r="H1567" t="str">
            <v>G160</v>
          </cell>
          <cell r="I1567">
            <v>10</v>
          </cell>
        </row>
        <row r="1568">
          <cell r="C1568" t="str">
            <v>96301WD200</v>
          </cell>
          <cell r="D1568">
            <v>2</v>
          </cell>
          <cell r="E1568">
            <v>0</v>
          </cell>
          <cell r="F1568">
            <v>513</v>
          </cell>
          <cell r="G1568" t="str">
            <v>D/M</v>
          </cell>
          <cell r="H1568" t="str">
            <v>G110</v>
          </cell>
          <cell r="I1568">
            <v>4080</v>
          </cell>
        </row>
        <row r="1569">
          <cell r="C1569" t="str">
            <v>96301WD210</v>
          </cell>
          <cell r="D1569">
            <v>2</v>
          </cell>
          <cell r="E1569">
            <v>0</v>
          </cell>
          <cell r="F1569">
            <v>513</v>
          </cell>
          <cell r="G1569" t="str">
            <v>D/M</v>
          </cell>
          <cell r="H1569" t="str">
            <v>G220</v>
          </cell>
          <cell r="I1569">
            <v>40</v>
          </cell>
        </row>
        <row r="1570">
          <cell r="C1570" t="str">
            <v>96301WD260</v>
          </cell>
          <cell r="D1570">
            <v>3</v>
          </cell>
          <cell r="E1570">
            <v>0</v>
          </cell>
          <cell r="F1570">
            <v>513</v>
          </cell>
          <cell r="G1570" t="str">
            <v>0/M</v>
          </cell>
          <cell r="H1570" t="str">
            <v>G150</v>
          </cell>
          <cell r="I1570">
            <v>85</v>
          </cell>
        </row>
        <row r="1571">
          <cell r="C1571" t="str">
            <v>96301WD300</v>
          </cell>
          <cell r="D1571">
            <v>2</v>
          </cell>
          <cell r="E1571">
            <v>0</v>
          </cell>
          <cell r="F1571">
            <v>513</v>
          </cell>
          <cell r="G1571" t="str">
            <v>D/M</v>
          </cell>
          <cell r="H1571" t="str">
            <v>G160</v>
          </cell>
          <cell r="I1571">
            <v>10</v>
          </cell>
        </row>
        <row r="1572">
          <cell r="C1572" t="str">
            <v>96301WD301</v>
          </cell>
          <cell r="D1572">
            <v>2</v>
          </cell>
          <cell r="E1572">
            <v>0</v>
          </cell>
          <cell r="F1572">
            <v>513</v>
          </cell>
          <cell r="G1572" t="str">
            <v>D/M</v>
          </cell>
          <cell r="H1572" t="str">
            <v>G150</v>
          </cell>
          <cell r="I1572">
            <v>1500</v>
          </cell>
        </row>
        <row r="1573">
          <cell r="C1573" t="str">
            <v>96301WD305</v>
          </cell>
          <cell r="D1573">
            <v>2</v>
          </cell>
          <cell r="E1573">
            <v>0</v>
          </cell>
          <cell r="F1573">
            <v>513</v>
          </cell>
          <cell r="G1573" t="str">
            <v>D/M</v>
          </cell>
          <cell r="H1573" t="str">
            <v>G150</v>
          </cell>
          <cell r="I1573">
            <v>400</v>
          </cell>
        </row>
        <row r="1574">
          <cell r="C1574" t="str">
            <v>96301WD310</v>
          </cell>
          <cell r="D1574">
            <v>2</v>
          </cell>
          <cell r="E1574">
            <v>0</v>
          </cell>
          <cell r="F1574">
            <v>513</v>
          </cell>
          <cell r="G1574" t="str">
            <v>D/M</v>
          </cell>
          <cell r="H1574" t="str">
            <v>G160</v>
          </cell>
          <cell r="I1574">
            <v>10</v>
          </cell>
        </row>
        <row r="1575">
          <cell r="C1575" t="str">
            <v>96301WD311</v>
          </cell>
          <cell r="D1575">
            <v>2</v>
          </cell>
          <cell r="E1575">
            <v>0</v>
          </cell>
          <cell r="F1575">
            <v>513</v>
          </cell>
          <cell r="G1575" t="str">
            <v>D/M</v>
          </cell>
          <cell r="H1575" t="str">
            <v>G220</v>
          </cell>
          <cell r="I1575">
            <v>400</v>
          </cell>
        </row>
        <row r="1576">
          <cell r="C1576" t="str">
            <v>96301WD315</v>
          </cell>
          <cell r="D1576">
            <v>2</v>
          </cell>
          <cell r="E1576">
            <v>0</v>
          </cell>
          <cell r="F1576">
            <v>513</v>
          </cell>
          <cell r="G1576" t="str">
            <v>D/M</v>
          </cell>
          <cell r="H1576" t="str">
            <v>G220</v>
          </cell>
          <cell r="I1576">
            <v>400</v>
          </cell>
        </row>
        <row r="1577">
          <cell r="C1577" t="str">
            <v>96302WD000</v>
          </cell>
          <cell r="D1577">
            <v>2</v>
          </cell>
          <cell r="E1577">
            <v>0</v>
          </cell>
          <cell r="F1577">
            <v>513</v>
          </cell>
          <cell r="G1577" t="str">
            <v>D/M</v>
          </cell>
          <cell r="H1577" t="str">
            <v>G160</v>
          </cell>
          <cell r="I1577">
            <v>2535</v>
          </cell>
        </row>
        <row r="1578">
          <cell r="C1578" t="str">
            <v>96302WD005</v>
          </cell>
          <cell r="D1578">
            <v>2</v>
          </cell>
          <cell r="E1578">
            <v>0</v>
          </cell>
          <cell r="F1578">
            <v>513</v>
          </cell>
          <cell r="G1578" t="str">
            <v>D/M</v>
          </cell>
          <cell r="H1578" t="str">
            <v>G160</v>
          </cell>
          <cell r="I1578">
            <v>10</v>
          </cell>
        </row>
        <row r="1579">
          <cell r="C1579" t="str">
            <v>96302WD010</v>
          </cell>
          <cell r="D1579">
            <v>2</v>
          </cell>
          <cell r="E1579">
            <v>0</v>
          </cell>
          <cell r="F1579">
            <v>513</v>
          </cell>
          <cell r="G1579" t="str">
            <v>D/M</v>
          </cell>
          <cell r="H1579" t="str">
            <v>G160</v>
          </cell>
          <cell r="I1579">
            <v>10</v>
          </cell>
        </row>
        <row r="1580">
          <cell r="C1580" t="str">
            <v>96302WD015</v>
          </cell>
          <cell r="D1580">
            <v>2</v>
          </cell>
          <cell r="E1580">
            <v>0</v>
          </cell>
          <cell r="F1580">
            <v>513</v>
          </cell>
          <cell r="G1580" t="str">
            <v>D/M</v>
          </cell>
          <cell r="H1580" t="str">
            <v>G230</v>
          </cell>
          <cell r="I1580">
            <v>100</v>
          </cell>
        </row>
        <row r="1581">
          <cell r="C1581" t="str">
            <v>96302WD060</v>
          </cell>
          <cell r="D1581">
            <v>2</v>
          </cell>
          <cell r="E1581">
            <v>0</v>
          </cell>
          <cell r="F1581">
            <v>513</v>
          </cell>
          <cell r="G1581" t="str">
            <v>D/M</v>
          </cell>
          <cell r="H1581" t="str">
            <v>G230</v>
          </cell>
          <cell r="I1581">
            <v>100</v>
          </cell>
        </row>
        <row r="1582">
          <cell r="C1582" t="str">
            <v>96302WD065</v>
          </cell>
          <cell r="D1582">
            <v>2</v>
          </cell>
          <cell r="E1582">
            <v>0</v>
          </cell>
          <cell r="F1582">
            <v>513</v>
          </cell>
          <cell r="G1582" t="str">
            <v>D/M</v>
          </cell>
          <cell r="H1582" t="str">
            <v>G230</v>
          </cell>
          <cell r="I1582">
            <v>100</v>
          </cell>
        </row>
        <row r="1583">
          <cell r="C1583" t="str">
            <v>96302WD070</v>
          </cell>
          <cell r="D1583">
            <v>2</v>
          </cell>
          <cell r="E1583">
            <v>0</v>
          </cell>
          <cell r="F1583">
            <v>513</v>
          </cell>
          <cell r="G1583" t="str">
            <v>D/M</v>
          </cell>
          <cell r="H1583" t="str">
            <v>G230</v>
          </cell>
          <cell r="I1583">
            <v>100</v>
          </cell>
        </row>
        <row r="1584">
          <cell r="C1584" t="str">
            <v>96302WD075</v>
          </cell>
          <cell r="D1584">
            <v>2</v>
          </cell>
          <cell r="E1584">
            <v>0</v>
          </cell>
          <cell r="F1584">
            <v>513</v>
          </cell>
          <cell r="G1584" t="str">
            <v>D/M</v>
          </cell>
          <cell r="H1584" t="str">
            <v>G230</v>
          </cell>
          <cell r="I1584">
            <v>100</v>
          </cell>
        </row>
        <row r="1585">
          <cell r="C1585" t="str">
            <v>96302WD100</v>
          </cell>
          <cell r="D1585">
            <v>2</v>
          </cell>
          <cell r="E1585">
            <v>0</v>
          </cell>
          <cell r="F1585">
            <v>513</v>
          </cell>
          <cell r="G1585" t="str">
            <v>D/M</v>
          </cell>
          <cell r="H1585" t="str">
            <v>G160</v>
          </cell>
          <cell r="I1585">
            <v>10</v>
          </cell>
        </row>
        <row r="1586">
          <cell r="C1586" t="str">
            <v>96302WD105</v>
          </cell>
          <cell r="D1586">
            <v>2</v>
          </cell>
          <cell r="E1586">
            <v>0</v>
          </cell>
          <cell r="F1586">
            <v>513</v>
          </cell>
          <cell r="G1586" t="str">
            <v>D/M</v>
          </cell>
          <cell r="H1586" t="str">
            <v>G160</v>
          </cell>
          <cell r="I1586">
            <v>10</v>
          </cell>
        </row>
        <row r="1587">
          <cell r="C1587" t="str">
            <v>96302WD110</v>
          </cell>
          <cell r="D1587">
            <v>2</v>
          </cell>
          <cell r="E1587">
            <v>0</v>
          </cell>
          <cell r="F1587">
            <v>513</v>
          </cell>
          <cell r="G1587" t="str">
            <v>D/M</v>
          </cell>
          <cell r="H1587" t="str">
            <v>G160</v>
          </cell>
          <cell r="I1587">
            <v>10</v>
          </cell>
        </row>
        <row r="1588">
          <cell r="C1588" t="str">
            <v>96302WD200</v>
          </cell>
          <cell r="D1588">
            <v>2</v>
          </cell>
          <cell r="E1588">
            <v>0</v>
          </cell>
          <cell r="F1588">
            <v>513</v>
          </cell>
          <cell r="G1588" t="str">
            <v>D/M</v>
          </cell>
          <cell r="H1588" t="str">
            <v>G110</v>
          </cell>
          <cell r="I1588">
            <v>4080</v>
          </cell>
        </row>
        <row r="1589">
          <cell r="C1589" t="str">
            <v>96302WD210</v>
          </cell>
          <cell r="D1589">
            <v>2</v>
          </cell>
          <cell r="E1589">
            <v>0</v>
          </cell>
          <cell r="F1589">
            <v>513</v>
          </cell>
          <cell r="G1589" t="str">
            <v>D/M</v>
          </cell>
          <cell r="H1589" t="str">
            <v>G220</v>
          </cell>
          <cell r="I1589">
            <v>40</v>
          </cell>
        </row>
        <row r="1590">
          <cell r="C1590" t="str">
            <v>96302WD260</v>
          </cell>
          <cell r="D1590">
            <v>3</v>
          </cell>
          <cell r="E1590">
            <v>0</v>
          </cell>
          <cell r="F1590">
            <v>513</v>
          </cell>
          <cell r="G1590" t="str">
            <v>0/M</v>
          </cell>
          <cell r="H1590" t="str">
            <v>G150</v>
          </cell>
          <cell r="I1590">
            <v>85</v>
          </cell>
        </row>
        <row r="1591">
          <cell r="C1591" t="str">
            <v>96302WD300</v>
          </cell>
          <cell r="D1591">
            <v>2</v>
          </cell>
          <cell r="E1591">
            <v>0</v>
          </cell>
          <cell r="F1591">
            <v>513</v>
          </cell>
          <cell r="G1591" t="str">
            <v>D/M</v>
          </cell>
          <cell r="H1591" t="str">
            <v>G160</v>
          </cell>
          <cell r="I1591">
            <v>10</v>
          </cell>
        </row>
        <row r="1592">
          <cell r="C1592" t="str">
            <v>96302WD301</v>
          </cell>
          <cell r="D1592">
            <v>2</v>
          </cell>
          <cell r="E1592">
            <v>0</v>
          </cell>
          <cell r="F1592">
            <v>513</v>
          </cell>
          <cell r="G1592" t="str">
            <v>D/M</v>
          </cell>
          <cell r="H1592" t="str">
            <v>G150</v>
          </cell>
          <cell r="I1592">
            <v>1500</v>
          </cell>
        </row>
        <row r="1593">
          <cell r="C1593" t="str">
            <v>96302WD305</v>
          </cell>
          <cell r="D1593">
            <v>2</v>
          </cell>
          <cell r="E1593">
            <v>0</v>
          </cell>
          <cell r="F1593">
            <v>513</v>
          </cell>
          <cell r="G1593" t="str">
            <v>D/M</v>
          </cell>
          <cell r="H1593" t="str">
            <v>G150</v>
          </cell>
          <cell r="I1593">
            <v>400</v>
          </cell>
        </row>
        <row r="1594">
          <cell r="C1594" t="str">
            <v>96302WD310</v>
          </cell>
          <cell r="D1594">
            <v>2</v>
          </cell>
          <cell r="E1594">
            <v>0</v>
          </cell>
          <cell r="F1594">
            <v>513</v>
          </cell>
          <cell r="G1594" t="str">
            <v>D/M</v>
          </cell>
          <cell r="H1594" t="str">
            <v>G160</v>
          </cell>
          <cell r="I1594">
            <v>10</v>
          </cell>
        </row>
        <row r="1595">
          <cell r="C1595" t="str">
            <v>96302WD311</v>
          </cell>
          <cell r="D1595">
            <v>2</v>
          </cell>
          <cell r="E1595">
            <v>0</v>
          </cell>
          <cell r="F1595">
            <v>513</v>
          </cell>
          <cell r="G1595" t="str">
            <v>D/M</v>
          </cell>
          <cell r="H1595" t="str">
            <v>G220</v>
          </cell>
          <cell r="I1595">
            <v>400</v>
          </cell>
        </row>
        <row r="1596">
          <cell r="C1596" t="str">
            <v>96302WD315</v>
          </cell>
          <cell r="D1596">
            <v>2</v>
          </cell>
          <cell r="E1596">
            <v>0</v>
          </cell>
          <cell r="F1596">
            <v>513</v>
          </cell>
          <cell r="G1596" t="str">
            <v>D/M</v>
          </cell>
          <cell r="H1596" t="str">
            <v>G220</v>
          </cell>
          <cell r="I1596">
            <v>400</v>
          </cell>
        </row>
        <row r="1597">
          <cell r="C1597" t="str">
            <v>96321WA000</v>
          </cell>
          <cell r="D1597">
            <v>3</v>
          </cell>
          <cell r="E1597">
            <v>0</v>
          </cell>
          <cell r="F1597">
            <v>563</v>
          </cell>
          <cell r="G1597" t="str">
            <v>I/M</v>
          </cell>
          <cell r="H1597">
            <v>0</v>
          </cell>
          <cell r="I1597">
            <v>2100</v>
          </cell>
        </row>
        <row r="1598">
          <cell r="C1598" t="str">
            <v>96321WD200</v>
          </cell>
          <cell r="D1598">
            <v>3</v>
          </cell>
          <cell r="E1598">
            <v>0</v>
          </cell>
          <cell r="F1598">
            <v>563</v>
          </cell>
          <cell r="G1598" t="str">
            <v>I/M</v>
          </cell>
          <cell r="H1598" t="str">
            <v>H000</v>
          </cell>
          <cell r="I1598">
            <v>4600</v>
          </cell>
        </row>
        <row r="1599">
          <cell r="C1599" t="str">
            <v>9632861L00</v>
          </cell>
          <cell r="D1599">
            <v>3</v>
          </cell>
          <cell r="E1599">
            <v>0</v>
          </cell>
          <cell r="F1599">
            <v>563</v>
          </cell>
          <cell r="G1599" t="str">
            <v>RUBBER</v>
          </cell>
          <cell r="H1599">
            <v>0</v>
          </cell>
          <cell r="I1599">
            <v>2100</v>
          </cell>
        </row>
        <row r="1600">
          <cell r="C1600" t="str">
            <v>963734M401</v>
          </cell>
          <cell r="D1600">
            <v>1</v>
          </cell>
          <cell r="E1600">
            <v>0</v>
          </cell>
          <cell r="F1600">
            <v>513</v>
          </cell>
          <cell r="G1600" t="str">
            <v>GARN1S</v>
          </cell>
          <cell r="H1600" t="str">
            <v>G169</v>
          </cell>
          <cell r="I1600">
            <v>430</v>
          </cell>
        </row>
        <row r="1601">
          <cell r="C1601" t="str">
            <v>963744M401</v>
          </cell>
          <cell r="D1601">
            <v>1</v>
          </cell>
          <cell r="E1601">
            <v>0</v>
          </cell>
          <cell r="F1601">
            <v>513</v>
          </cell>
          <cell r="G1601" t="str">
            <v>GARN1S</v>
          </cell>
          <cell r="H1601" t="str">
            <v>G169</v>
          </cell>
          <cell r="I1601">
            <v>430</v>
          </cell>
        </row>
        <row r="1602">
          <cell r="C1602" t="str">
            <v>2616061Y10</v>
          </cell>
          <cell r="D1602">
            <v>3</v>
          </cell>
          <cell r="E1602">
            <v>0</v>
          </cell>
          <cell r="F1602">
            <v>415</v>
          </cell>
          <cell r="G1602" t="str">
            <v>STR/L</v>
          </cell>
          <cell r="H1602">
            <v>0</v>
          </cell>
          <cell r="I1602">
            <v>6000</v>
          </cell>
        </row>
        <row r="1603">
          <cell r="C1603" t="str">
            <v>264100V000</v>
          </cell>
          <cell r="D1603">
            <v>3</v>
          </cell>
          <cell r="E1603">
            <v>0</v>
          </cell>
          <cell r="F1603">
            <v>415</v>
          </cell>
          <cell r="G1603" t="str">
            <v>R/L</v>
          </cell>
        </row>
        <row r="1604">
          <cell r="C1604" t="str">
            <v>264204U000</v>
          </cell>
          <cell r="D1604">
            <v>2</v>
          </cell>
          <cell r="E1604">
            <v>0</v>
          </cell>
          <cell r="F1604">
            <v>415</v>
          </cell>
          <cell r="G1604" t="str">
            <v>STEP/L</v>
          </cell>
          <cell r="H1604">
            <v>0</v>
          </cell>
          <cell r="I1604">
            <v>6000</v>
          </cell>
        </row>
        <row r="1605">
          <cell r="C1605" t="str">
            <v>264305L301</v>
          </cell>
          <cell r="D1605">
            <v>3</v>
          </cell>
          <cell r="E1605">
            <v>0</v>
          </cell>
          <cell r="F1605">
            <v>415</v>
          </cell>
          <cell r="G1605" t="str">
            <v>MAP/L</v>
          </cell>
        </row>
        <row r="1606">
          <cell r="C1606" t="str">
            <v>265104U000</v>
          </cell>
          <cell r="D1606">
            <v>2</v>
          </cell>
          <cell r="E1606">
            <v>0</v>
          </cell>
          <cell r="F1606">
            <v>415</v>
          </cell>
          <cell r="G1606" t="str">
            <v>L/L</v>
          </cell>
          <cell r="H1606" t="str">
            <v>D000</v>
          </cell>
          <cell r="I1606">
            <v>6000</v>
          </cell>
        </row>
        <row r="1607">
          <cell r="C1607" t="str">
            <v>265104U010</v>
          </cell>
          <cell r="D1607">
            <v>2</v>
          </cell>
          <cell r="E1607">
            <v>0</v>
          </cell>
          <cell r="F1607">
            <v>415</v>
          </cell>
          <cell r="G1607" t="str">
            <v>L/L</v>
          </cell>
          <cell r="H1607" t="str">
            <v>D000</v>
          </cell>
          <cell r="I1607">
            <v>100</v>
          </cell>
        </row>
        <row r="1608">
          <cell r="C1608" t="str">
            <v>265604U000</v>
          </cell>
          <cell r="D1608">
            <v>1</v>
          </cell>
          <cell r="E1608">
            <v>0</v>
          </cell>
          <cell r="F1608">
            <v>415</v>
          </cell>
          <cell r="G1608" t="str">
            <v>R/R</v>
          </cell>
          <cell r="H1608" t="str">
            <v>C000</v>
          </cell>
          <cell r="I1608">
            <v>6000</v>
          </cell>
        </row>
        <row r="1609">
          <cell r="C1609" t="str">
            <v>265654U000</v>
          </cell>
          <cell r="D1609">
            <v>1</v>
          </cell>
          <cell r="E1609">
            <v>0</v>
          </cell>
          <cell r="F1609">
            <v>415</v>
          </cell>
          <cell r="G1609" t="str">
            <v>R/R</v>
          </cell>
          <cell r="H1609" t="str">
            <v>C000</v>
          </cell>
          <cell r="I1609">
            <v>6000</v>
          </cell>
        </row>
        <row r="1610">
          <cell r="C1610" t="str">
            <v>2888250J00</v>
          </cell>
          <cell r="D1610">
            <v>3</v>
          </cell>
          <cell r="E1610">
            <v>0</v>
          </cell>
          <cell r="F1610">
            <v>714</v>
          </cell>
          <cell r="G1610" t="str">
            <v>C0VER</v>
          </cell>
          <cell r="H1610">
            <v>0</v>
          </cell>
          <cell r="I1610">
            <v>12000</v>
          </cell>
        </row>
        <row r="1611">
          <cell r="C1611" t="str">
            <v>963214M410</v>
          </cell>
          <cell r="D1611">
            <v>3</v>
          </cell>
          <cell r="E1611">
            <v>0</v>
          </cell>
          <cell r="F1611">
            <v>563</v>
          </cell>
          <cell r="G1611" t="str">
            <v>GP/M</v>
          </cell>
          <cell r="H1611" t="str">
            <v>H100</v>
          </cell>
          <cell r="I1611">
            <v>6000</v>
          </cell>
        </row>
        <row r="1612">
          <cell r="C1612" t="str">
            <v>963274M400</v>
          </cell>
          <cell r="D1612">
            <v>1</v>
          </cell>
          <cell r="E1612">
            <v>0</v>
          </cell>
          <cell r="F1612">
            <v>563</v>
          </cell>
          <cell r="G1612" t="str">
            <v>BAES</v>
          </cell>
          <cell r="H1612" t="str">
            <v>H109</v>
          </cell>
          <cell r="I1612">
            <v>13000</v>
          </cell>
        </row>
        <row r="1613">
          <cell r="C1613" t="str">
            <v>96373WD002</v>
          </cell>
          <cell r="D1613">
            <v>1</v>
          </cell>
          <cell r="E1613">
            <v>0</v>
          </cell>
          <cell r="F1613">
            <v>513</v>
          </cell>
          <cell r="G1613" t="str">
            <v>GARN1S</v>
          </cell>
          <cell r="H1613" t="str">
            <v>G169</v>
          </cell>
          <cell r="I1613">
            <v>210</v>
          </cell>
        </row>
        <row r="1614">
          <cell r="C1614" t="str">
            <v>96373WD003</v>
          </cell>
          <cell r="D1614">
            <v>1</v>
          </cell>
          <cell r="E1614">
            <v>0</v>
          </cell>
          <cell r="F1614">
            <v>513</v>
          </cell>
          <cell r="G1614" t="str">
            <v>GARN1S</v>
          </cell>
          <cell r="H1614" t="str">
            <v>G169</v>
          </cell>
          <cell r="I1614">
            <v>210</v>
          </cell>
        </row>
        <row r="1615">
          <cell r="C1615" t="str">
            <v>96373WD004</v>
          </cell>
          <cell r="D1615">
            <v>1</v>
          </cell>
          <cell r="E1615">
            <v>0</v>
          </cell>
          <cell r="F1615">
            <v>513</v>
          </cell>
          <cell r="G1615" t="str">
            <v>GARN1S</v>
          </cell>
          <cell r="H1615" t="str">
            <v>G169</v>
          </cell>
          <cell r="I1615">
            <v>210</v>
          </cell>
        </row>
        <row r="1616">
          <cell r="C1616" t="str">
            <v>96373WD005</v>
          </cell>
          <cell r="D1616">
            <v>1</v>
          </cell>
          <cell r="E1616">
            <v>0</v>
          </cell>
          <cell r="F1616">
            <v>513</v>
          </cell>
          <cell r="G1616" t="str">
            <v>GARN1S</v>
          </cell>
          <cell r="H1616" t="str">
            <v>G169</v>
          </cell>
          <cell r="I1616">
            <v>210</v>
          </cell>
        </row>
        <row r="1617">
          <cell r="C1617" t="str">
            <v>96373WD006</v>
          </cell>
          <cell r="D1617">
            <v>1</v>
          </cell>
          <cell r="E1617">
            <v>0</v>
          </cell>
          <cell r="F1617">
            <v>513</v>
          </cell>
          <cell r="G1617" t="str">
            <v>GARN1S</v>
          </cell>
          <cell r="H1617" t="str">
            <v>G169</v>
          </cell>
          <cell r="I1617">
            <v>210</v>
          </cell>
        </row>
        <row r="1618">
          <cell r="C1618" t="str">
            <v>96373WD007</v>
          </cell>
          <cell r="D1618">
            <v>1</v>
          </cell>
          <cell r="E1618">
            <v>0</v>
          </cell>
          <cell r="F1618">
            <v>513</v>
          </cell>
          <cell r="G1618" t="str">
            <v>GARN1S</v>
          </cell>
          <cell r="H1618" t="str">
            <v>G169</v>
          </cell>
          <cell r="I1618">
            <v>210</v>
          </cell>
        </row>
        <row r="1619">
          <cell r="C1619" t="str">
            <v>96374WD002</v>
          </cell>
          <cell r="D1619">
            <v>1</v>
          </cell>
          <cell r="E1619">
            <v>0</v>
          </cell>
          <cell r="F1619">
            <v>513</v>
          </cell>
          <cell r="G1619" t="str">
            <v>GARN1S</v>
          </cell>
          <cell r="H1619" t="str">
            <v>G169</v>
          </cell>
          <cell r="I1619">
            <v>210</v>
          </cell>
        </row>
        <row r="1620">
          <cell r="C1620" t="str">
            <v>96374WD003</v>
          </cell>
          <cell r="D1620">
            <v>1</v>
          </cell>
          <cell r="E1620">
            <v>0</v>
          </cell>
          <cell r="F1620">
            <v>513</v>
          </cell>
          <cell r="G1620" t="str">
            <v>GARN1S</v>
          </cell>
          <cell r="H1620" t="str">
            <v>G169</v>
          </cell>
          <cell r="I1620">
            <v>210</v>
          </cell>
        </row>
        <row r="1621">
          <cell r="C1621" t="str">
            <v>96374WD004</v>
          </cell>
          <cell r="D1621">
            <v>1</v>
          </cell>
          <cell r="E1621">
            <v>0</v>
          </cell>
          <cell r="F1621">
            <v>513</v>
          </cell>
          <cell r="G1621" t="str">
            <v>GARN1S</v>
          </cell>
          <cell r="H1621" t="str">
            <v>G169</v>
          </cell>
          <cell r="I1621">
            <v>210</v>
          </cell>
        </row>
        <row r="1622">
          <cell r="C1622" t="str">
            <v>96374WD005</v>
          </cell>
          <cell r="D1622">
            <v>1</v>
          </cell>
          <cell r="E1622">
            <v>0</v>
          </cell>
          <cell r="F1622">
            <v>513</v>
          </cell>
          <cell r="G1622" t="str">
            <v>GARN1S</v>
          </cell>
          <cell r="H1622" t="str">
            <v>G169</v>
          </cell>
          <cell r="I1622">
            <v>210</v>
          </cell>
        </row>
        <row r="1623">
          <cell r="C1623" t="str">
            <v>96374WD006</v>
          </cell>
          <cell r="D1623">
            <v>1</v>
          </cell>
          <cell r="E1623">
            <v>0</v>
          </cell>
          <cell r="F1623">
            <v>513</v>
          </cell>
          <cell r="G1623" t="str">
            <v>GARN1S</v>
          </cell>
          <cell r="H1623" t="str">
            <v>G169</v>
          </cell>
          <cell r="I1623">
            <v>210</v>
          </cell>
        </row>
        <row r="1624">
          <cell r="C1624" t="str">
            <v>96374WD007</v>
          </cell>
          <cell r="D1624">
            <v>1</v>
          </cell>
          <cell r="E1624">
            <v>0</v>
          </cell>
          <cell r="F1624">
            <v>513</v>
          </cell>
          <cell r="G1624" t="str">
            <v>GARN1S</v>
          </cell>
          <cell r="H1624" t="str">
            <v>G169</v>
          </cell>
          <cell r="I1624">
            <v>210</v>
          </cell>
        </row>
        <row r="1625">
          <cell r="C1625" t="str">
            <v>261601N000</v>
          </cell>
          <cell r="D1625">
            <v>3</v>
          </cell>
          <cell r="E1625">
            <v>0</v>
          </cell>
          <cell r="F1625">
            <v>415</v>
          </cell>
          <cell r="G1625" t="str">
            <v>STR/L</v>
          </cell>
          <cell r="H1625">
            <v>0</v>
          </cell>
          <cell r="I1625">
            <v>410</v>
          </cell>
        </row>
        <row r="1626">
          <cell r="C1626" t="str">
            <v>261602W100</v>
          </cell>
          <cell r="D1626">
            <v>1</v>
          </cell>
          <cell r="E1626">
            <v>0</v>
          </cell>
          <cell r="F1626">
            <v>415</v>
          </cell>
          <cell r="G1626" t="str">
            <v>STR/L</v>
          </cell>
          <cell r="H1626" t="str">
            <v>B200</v>
          </cell>
          <cell r="I1626">
            <v>7000</v>
          </cell>
        </row>
        <row r="1627">
          <cell r="C1627" t="str">
            <v>264102W602</v>
          </cell>
          <cell r="D1627">
            <v>2</v>
          </cell>
          <cell r="E1627" t="str">
            <v>C</v>
          </cell>
          <cell r="F1627">
            <v>415</v>
          </cell>
          <cell r="G1627" t="str">
            <v>R/L</v>
          </cell>
          <cell r="H1627" t="str">
            <v>D100</v>
          </cell>
          <cell r="I1627">
            <v>2000</v>
          </cell>
        </row>
        <row r="1628">
          <cell r="C1628" t="str">
            <v>264102W612</v>
          </cell>
          <cell r="D1628">
            <v>2</v>
          </cell>
          <cell r="E1628" t="str">
            <v>C</v>
          </cell>
          <cell r="F1628">
            <v>415</v>
          </cell>
          <cell r="G1628" t="str">
            <v>R/L</v>
          </cell>
          <cell r="H1628" t="str">
            <v>D100</v>
          </cell>
          <cell r="I1628">
            <v>2000</v>
          </cell>
        </row>
        <row r="1629">
          <cell r="C1629" t="str">
            <v>264302W602</v>
          </cell>
          <cell r="D1629">
            <v>2</v>
          </cell>
          <cell r="E1629">
            <v>0</v>
          </cell>
          <cell r="F1629">
            <v>415</v>
          </cell>
          <cell r="G1629" t="str">
            <v>MAP/L</v>
          </cell>
          <cell r="H1629" t="str">
            <v>E010</v>
          </cell>
          <cell r="I1629">
            <v>400</v>
          </cell>
        </row>
        <row r="1630">
          <cell r="C1630" t="str">
            <v>264302W700</v>
          </cell>
          <cell r="D1630">
            <v>2</v>
          </cell>
          <cell r="E1630">
            <v>0</v>
          </cell>
          <cell r="F1630">
            <v>415</v>
          </cell>
          <cell r="G1630" t="str">
            <v>MAP/L</v>
          </cell>
          <cell r="H1630" t="str">
            <v>E010</v>
          </cell>
          <cell r="I1630">
            <v>400</v>
          </cell>
        </row>
        <row r="1631">
          <cell r="C1631" t="str">
            <v>264302W701</v>
          </cell>
          <cell r="D1631">
            <v>2</v>
          </cell>
          <cell r="E1631">
            <v>0</v>
          </cell>
          <cell r="F1631">
            <v>415</v>
          </cell>
          <cell r="G1631" t="str">
            <v>MAP/L</v>
          </cell>
          <cell r="H1631" t="str">
            <v>E010</v>
          </cell>
          <cell r="I1631">
            <v>400</v>
          </cell>
        </row>
        <row r="1632">
          <cell r="C1632" t="str">
            <v>264302W702</v>
          </cell>
          <cell r="D1632">
            <v>2</v>
          </cell>
          <cell r="E1632">
            <v>0</v>
          </cell>
          <cell r="F1632">
            <v>415</v>
          </cell>
          <cell r="G1632" t="str">
            <v>MAP/L</v>
          </cell>
          <cell r="H1632" t="str">
            <v>E010</v>
          </cell>
          <cell r="I1632">
            <v>400</v>
          </cell>
        </row>
        <row r="1633">
          <cell r="C1633" t="str">
            <v>265102W100</v>
          </cell>
          <cell r="D1633">
            <v>2</v>
          </cell>
          <cell r="E1633">
            <v>0</v>
          </cell>
          <cell r="F1633">
            <v>414</v>
          </cell>
          <cell r="G1633" t="str">
            <v>L/L</v>
          </cell>
          <cell r="H1633" t="str">
            <v>D000</v>
          </cell>
          <cell r="I1633">
            <v>12900</v>
          </cell>
        </row>
        <row r="1634">
          <cell r="C1634" t="str">
            <v>265102W110</v>
          </cell>
          <cell r="D1634">
            <v>2</v>
          </cell>
          <cell r="E1634">
            <v>0</v>
          </cell>
          <cell r="F1634">
            <v>414</v>
          </cell>
          <cell r="G1634" t="str">
            <v>L/L</v>
          </cell>
          <cell r="H1634" t="str">
            <v>D000</v>
          </cell>
          <cell r="I1634">
            <v>2500</v>
          </cell>
        </row>
        <row r="1635">
          <cell r="C1635" t="str">
            <v>963012W100</v>
          </cell>
          <cell r="D1635">
            <v>2</v>
          </cell>
          <cell r="E1635" t="str">
            <v>C</v>
          </cell>
          <cell r="F1635">
            <v>513</v>
          </cell>
          <cell r="G1635" t="str">
            <v>D/M</v>
          </cell>
          <cell r="H1635" t="str">
            <v>G160</v>
          </cell>
          <cell r="I1635">
            <v>200</v>
          </cell>
        </row>
        <row r="1636">
          <cell r="C1636" t="str">
            <v>963012W101</v>
          </cell>
          <cell r="D1636">
            <v>2</v>
          </cell>
          <cell r="E1636" t="str">
            <v>C</v>
          </cell>
          <cell r="F1636">
            <v>513</v>
          </cell>
          <cell r="G1636" t="str">
            <v>D/M</v>
          </cell>
          <cell r="H1636" t="str">
            <v>G160</v>
          </cell>
          <cell r="I1636">
            <v>200</v>
          </cell>
        </row>
        <row r="1637">
          <cell r="C1637" t="str">
            <v>963012W102</v>
          </cell>
          <cell r="D1637">
            <v>2</v>
          </cell>
          <cell r="E1637" t="str">
            <v>C</v>
          </cell>
          <cell r="F1637">
            <v>513</v>
          </cell>
          <cell r="G1637" t="str">
            <v>D/M</v>
          </cell>
          <cell r="H1637" t="str">
            <v>G160</v>
          </cell>
          <cell r="I1637">
            <v>200</v>
          </cell>
        </row>
        <row r="1638">
          <cell r="C1638" t="str">
            <v>963012W103</v>
          </cell>
          <cell r="D1638">
            <v>2</v>
          </cell>
          <cell r="E1638" t="str">
            <v>C</v>
          </cell>
          <cell r="F1638">
            <v>513</v>
          </cell>
          <cell r="G1638" t="str">
            <v>D/M</v>
          </cell>
          <cell r="H1638" t="str">
            <v>G160</v>
          </cell>
          <cell r="I1638">
            <v>200</v>
          </cell>
        </row>
        <row r="1639">
          <cell r="C1639" t="str">
            <v>963012W104</v>
          </cell>
          <cell r="D1639">
            <v>2</v>
          </cell>
          <cell r="E1639" t="str">
            <v>C</v>
          </cell>
          <cell r="F1639">
            <v>513</v>
          </cell>
          <cell r="G1639" t="str">
            <v>D/M</v>
          </cell>
          <cell r="H1639" t="str">
            <v>G160</v>
          </cell>
          <cell r="I1639">
            <v>200</v>
          </cell>
        </row>
        <row r="1640">
          <cell r="C1640" t="str">
            <v>963012W160</v>
          </cell>
          <cell r="D1640">
            <v>2</v>
          </cell>
          <cell r="E1640" t="str">
            <v>C</v>
          </cell>
          <cell r="F1640">
            <v>513</v>
          </cell>
          <cell r="G1640" t="str">
            <v>D/M</v>
          </cell>
          <cell r="H1640" t="str">
            <v>G160</v>
          </cell>
          <cell r="I1640">
            <v>200</v>
          </cell>
        </row>
        <row r="1641">
          <cell r="C1641" t="str">
            <v>963012W161</v>
          </cell>
          <cell r="D1641">
            <v>2</v>
          </cell>
          <cell r="E1641" t="str">
            <v>C</v>
          </cell>
          <cell r="F1641">
            <v>513</v>
          </cell>
          <cell r="G1641" t="str">
            <v>D/M</v>
          </cell>
          <cell r="H1641" t="str">
            <v>G160</v>
          </cell>
          <cell r="I1641">
            <v>200</v>
          </cell>
        </row>
        <row r="1642">
          <cell r="C1642" t="str">
            <v>963012W162</v>
          </cell>
          <cell r="D1642">
            <v>2</v>
          </cell>
          <cell r="E1642" t="str">
            <v>C</v>
          </cell>
          <cell r="F1642">
            <v>513</v>
          </cell>
          <cell r="G1642" t="str">
            <v>D/M</v>
          </cell>
          <cell r="H1642" t="str">
            <v>G160</v>
          </cell>
          <cell r="I1642">
            <v>200</v>
          </cell>
        </row>
        <row r="1643">
          <cell r="C1643" t="str">
            <v>963012W163</v>
          </cell>
          <cell r="D1643">
            <v>2</v>
          </cell>
          <cell r="E1643" t="str">
            <v>C</v>
          </cell>
          <cell r="F1643">
            <v>513</v>
          </cell>
          <cell r="G1643" t="str">
            <v>D/M</v>
          </cell>
          <cell r="H1643" t="str">
            <v>G160</v>
          </cell>
          <cell r="I1643">
            <v>200</v>
          </cell>
        </row>
        <row r="1644">
          <cell r="C1644" t="str">
            <v>963012W164</v>
          </cell>
          <cell r="D1644">
            <v>2</v>
          </cell>
          <cell r="E1644" t="str">
            <v>C</v>
          </cell>
          <cell r="F1644">
            <v>513</v>
          </cell>
          <cell r="G1644" t="str">
            <v>D/M</v>
          </cell>
          <cell r="H1644" t="str">
            <v>G160</v>
          </cell>
          <cell r="I1644">
            <v>200</v>
          </cell>
        </row>
        <row r="1645">
          <cell r="C1645" t="str">
            <v>963012W200</v>
          </cell>
          <cell r="D1645">
            <v>2</v>
          </cell>
          <cell r="E1645" t="str">
            <v>C</v>
          </cell>
          <cell r="F1645">
            <v>513</v>
          </cell>
          <cell r="G1645" t="str">
            <v>D/M</v>
          </cell>
          <cell r="H1645" t="str">
            <v>G150</v>
          </cell>
          <cell r="I1645">
            <v>80</v>
          </cell>
        </row>
        <row r="1646">
          <cell r="C1646" t="str">
            <v>963012W201</v>
          </cell>
          <cell r="D1646">
            <v>2</v>
          </cell>
          <cell r="E1646" t="str">
            <v>C</v>
          </cell>
          <cell r="F1646">
            <v>513</v>
          </cell>
          <cell r="G1646" t="str">
            <v>D/M</v>
          </cell>
          <cell r="H1646" t="str">
            <v>G150</v>
          </cell>
          <cell r="I1646">
            <v>80</v>
          </cell>
        </row>
        <row r="1647">
          <cell r="C1647" t="str">
            <v>963012W202</v>
          </cell>
          <cell r="D1647">
            <v>2</v>
          </cell>
          <cell r="E1647" t="str">
            <v>C</v>
          </cell>
          <cell r="F1647">
            <v>513</v>
          </cell>
          <cell r="G1647" t="str">
            <v>D/M</v>
          </cell>
          <cell r="H1647" t="str">
            <v>G150</v>
          </cell>
          <cell r="I1647">
            <v>80</v>
          </cell>
        </row>
        <row r="1648">
          <cell r="C1648" t="str">
            <v>963012W203</v>
          </cell>
          <cell r="D1648">
            <v>2</v>
          </cell>
          <cell r="E1648" t="str">
            <v>C</v>
          </cell>
          <cell r="F1648">
            <v>513</v>
          </cell>
          <cell r="G1648" t="str">
            <v>D/M</v>
          </cell>
          <cell r="H1648" t="str">
            <v>G150</v>
          </cell>
          <cell r="I1648">
            <v>80</v>
          </cell>
        </row>
        <row r="1649">
          <cell r="C1649" t="str">
            <v>963012W204</v>
          </cell>
          <cell r="D1649">
            <v>2</v>
          </cell>
          <cell r="E1649" t="str">
            <v>C</v>
          </cell>
          <cell r="F1649">
            <v>513</v>
          </cell>
          <cell r="G1649" t="str">
            <v>D/M</v>
          </cell>
          <cell r="H1649" t="str">
            <v>G150</v>
          </cell>
          <cell r="I1649">
            <v>80</v>
          </cell>
        </row>
        <row r="1650">
          <cell r="C1650" t="str">
            <v>963012W260</v>
          </cell>
          <cell r="D1650">
            <v>2</v>
          </cell>
          <cell r="E1650" t="str">
            <v>C</v>
          </cell>
          <cell r="F1650">
            <v>513</v>
          </cell>
          <cell r="G1650" t="str">
            <v>D/M</v>
          </cell>
          <cell r="H1650" t="str">
            <v>G150</v>
          </cell>
          <cell r="I1650">
            <v>20</v>
          </cell>
        </row>
        <row r="1651">
          <cell r="C1651" t="str">
            <v>963012W261</v>
          </cell>
          <cell r="D1651">
            <v>2</v>
          </cell>
          <cell r="E1651" t="str">
            <v>C</v>
          </cell>
          <cell r="F1651">
            <v>513</v>
          </cell>
          <cell r="G1651" t="str">
            <v>D/M</v>
          </cell>
          <cell r="H1651" t="str">
            <v>G150</v>
          </cell>
          <cell r="I1651">
            <v>20</v>
          </cell>
        </row>
        <row r="1652">
          <cell r="C1652" t="str">
            <v>963012W262</v>
          </cell>
          <cell r="D1652">
            <v>2</v>
          </cell>
          <cell r="E1652" t="str">
            <v>C</v>
          </cell>
          <cell r="F1652">
            <v>513</v>
          </cell>
          <cell r="G1652" t="str">
            <v>D/M</v>
          </cell>
          <cell r="H1652" t="str">
            <v>G150</v>
          </cell>
          <cell r="I1652">
            <v>20</v>
          </cell>
        </row>
        <row r="1653">
          <cell r="C1653" t="str">
            <v>963012W263</v>
          </cell>
          <cell r="D1653">
            <v>2</v>
          </cell>
          <cell r="E1653" t="str">
            <v>C</v>
          </cell>
          <cell r="F1653">
            <v>513</v>
          </cell>
          <cell r="G1653" t="str">
            <v>D/M</v>
          </cell>
          <cell r="H1653" t="str">
            <v>G150</v>
          </cell>
          <cell r="I1653">
            <v>20</v>
          </cell>
        </row>
        <row r="1654">
          <cell r="C1654" t="str">
            <v>963012W264</v>
          </cell>
          <cell r="D1654">
            <v>2</v>
          </cell>
          <cell r="E1654" t="str">
            <v>C</v>
          </cell>
          <cell r="F1654">
            <v>513</v>
          </cell>
          <cell r="G1654" t="str">
            <v>D/M</v>
          </cell>
          <cell r="H1654" t="str">
            <v>G150</v>
          </cell>
          <cell r="I1654">
            <v>20</v>
          </cell>
        </row>
        <row r="1655">
          <cell r="C1655" t="str">
            <v>963012W300</v>
          </cell>
          <cell r="D1655">
            <v>2</v>
          </cell>
          <cell r="E1655" t="str">
            <v>C</v>
          </cell>
          <cell r="F1655">
            <v>513</v>
          </cell>
          <cell r="G1655" t="str">
            <v>D/M</v>
          </cell>
          <cell r="H1655" t="str">
            <v>G150</v>
          </cell>
          <cell r="I1655">
            <v>80</v>
          </cell>
        </row>
        <row r="1656">
          <cell r="C1656" t="str">
            <v>963012W301</v>
          </cell>
          <cell r="D1656">
            <v>2</v>
          </cell>
          <cell r="E1656" t="str">
            <v>C</v>
          </cell>
          <cell r="F1656">
            <v>513</v>
          </cell>
          <cell r="G1656" t="str">
            <v>D/M</v>
          </cell>
          <cell r="H1656" t="str">
            <v>G150</v>
          </cell>
          <cell r="I1656">
            <v>80</v>
          </cell>
        </row>
        <row r="1657">
          <cell r="C1657" t="str">
            <v>963012W360</v>
          </cell>
          <cell r="D1657">
            <v>2</v>
          </cell>
          <cell r="E1657" t="str">
            <v>C</v>
          </cell>
          <cell r="F1657">
            <v>513</v>
          </cell>
          <cell r="G1657" t="str">
            <v>D/M</v>
          </cell>
          <cell r="H1657" t="str">
            <v>G150</v>
          </cell>
          <cell r="I1657">
            <v>20</v>
          </cell>
        </row>
        <row r="1658">
          <cell r="C1658" t="str">
            <v>963012W361</v>
          </cell>
          <cell r="D1658">
            <v>2</v>
          </cell>
          <cell r="E1658" t="str">
            <v>C</v>
          </cell>
          <cell r="F1658">
            <v>513</v>
          </cell>
          <cell r="G1658" t="str">
            <v>D/M</v>
          </cell>
          <cell r="H1658" t="str">
            <v>G150</v>
          </cell>
          <cell r="I1658">
            <v>20</v>
          </cell>
        </row>
        <row r="1659">
          <cell r="C1659" t="str">
            <v>963012W400</v>
          </cell>
          <cell r="D1659">
            <v>2</v>
          </cell>
          <cell r="E1659" t="str">
            <v>C</v>
          </cell>
          <cell r="F1659">
            <v>513</v>
          </cell>
          <cell r="G1659" t="str">
            <v>D/M</v>
          </cell>
          <cell r="H1659" t="str">
            <v>G160</v>
          </cell>
          <cell r="I1659">
            <v>200</v>
          </cell>
        </row>
        <row r="1660">
          <cell r="C1660" t="str">
            <v>963012W401</v>
          </cell>
          <cell r="D1660">
            <v>2</v>
          </cell>
          <cell r="E1660" t="str">
            <v>C</v>
          </cell>
          <cell r="F1660">
            <v>513</v>
          </cell>
          <cell r="G1660" t="str">
            <v>D/M</v>
          </cell>
          <cell r="H1660" t="str">
            <v>G160</v>
          </cell>
          <cell r="I1660">
            <v>200</v>
          </cell>
        </row>
        <row r="1661">
          <cell r="C1661" t="str">
            <v>963012W460</v>
          </cell>
          <cell r="D1661">
            <v>2</v>
          </cell>
          <cell r="E1661" t="str">
            <v>C</v>
          </cell>
          <cell r="F1661">
            <v>513</v>
          </cell>
          <cell r="G1661" t="str">
            <v>D/M</v>
          </cell>
          <cell r="H1661" t="str">
            <v>G160</v>
          </cell>
          <cell r="I1661">
            <v>200</v>
          </cell>
        </row>
        <row r="1662">
          <cell r="C1662" t="str">
            <v>963012W461</v>
          </cell>
          <cell r="D1662">
            <v>2</v>
          </cell>
          <cell r="E1662" t="str">
            <v>C</v>
          </cell>
          <cell r="F1662">
            <v>513</v>
          </cell>
          <cell r="G1662" t="str">
            <v>D/M</v>
          </cell>
          <cell r="H1662" t="str">
            <v>G160</v>
          </cell>
          <cell r="I1662">
            <v>200</v>
          </cell>
        </row>
        <row r="1663">
          <cell r="C1663" t="str">
            <v>963012W660</v>
          </cell>
          <cell r="D1663">
            <v>2</v>
          </cell>
          <cell r="E1663" t="str">
            <v>C</v>
          </cell>
          <cell r="F1663">
            <v>513</v>
          </cell>
          <cell r="G1663" t="str">
            <v>D/M</v>
          </cell>
          <cell r="H1663" t="str">
            <v>G150</v>
          </cell>
          <cell r="I1663">
            <v>290</v>
          </cell>
        </row>
        <row r="1664">
          <cell r="C1664" t="str">
            <v>963012W661</v>
          </cell>
          <cell r="D1664">
            <v>2</v>
          </cell>
          <cell r="E1664" t="str">
            <v>C</v>
          </cell>
          <cell r="F1664">
            <v>513</v>
          </cell>
          <cell r="G1664" t="str">
            <v>D/M</v>
          </cell>
          <cell r="H1664" t="str">
            <v>G150</v>
          </cell>
          <cell r="I1664">
            <v>290</v>
          </cell>
        </row>
        <row r="1665">
          <cell r="C1665" t="str">
            <v>963012W662</v>
          </cell>
          <cell r="D1665">
            <v>2</v>
          </cell>
          <cell r="E1665" t="str">
            <v>C</v>
          </cell>
          <cell r="F1665">
            <v>513</v>
          </cell>
          <cell r="G1665" t="str">
            <v>D/M</v>
          </cell>
          <cell r="H1665" t="str">
            <v>G150</v>
          </cell>
          <cell r="I1665">
            <v>290</v>
          </cell>
        </row>
        <row r="1666">
          <cell r="C1666" t="str">
            <v>963012W663</v>
          </cell>
          <cell r="D1666">
            <v>2</v>
          </cell>
          <cell r="E1666" t="str">
            <v>C</v>
          </cell>
          <cell r="F1666">
            <v>513</v>
          </cell>
          <cell r="G1666" t="str">
            <v>D/M</v>
          </cell>
          <cell r="H1666" t="str">
            <v>G150</v>
          </cell>
          <cell r="I1666">
            <v>290</v>
          </cell>
        </row>
        <row r="1667">
          <cell r="C1667" t="str">
            <v>963012W664</v>
          </cell>
          <cell r="D1667">
            <v>2</v>
          </cell>
          <cell r="E1667" t="str">
            <v>C</v>
          </cell>
          <cell r="F1667">
            <v>513</v>
          </cell>
          <cell r="G1667" t="str">
            <v>D/M</v>
          </cell>
          <cell r="H1667" t="str">
            <v>G150</v>
          </cell>
          <cell r="I1667">
            <v>290</v>
          </cell>
        </row>
        <row r="1668">
          <cell r="C1668" t="str">
            <v>963012W665</v>
          </cell>
          <cell r="D1668">
            <v>2</v>
          </cell>
          <cell r="E1668" t="str">
            <v>C</v>
          </cell>
          <cell r="F1668">
            <v>513</v>
          </cell>
          <cell r="G1668" t="str">
            <v>D/M</v>
          </cell>
          <cell r="H1668" t="str">
            <v>G150</v>
          </cell>
          <cell r="I1668">
            <v>290</v>
          </cell>
        </row>
        <row r="1669">
          <cell r="C1669" t="str">
            <v>963012W666</v>
          </cell>
          <cell r="D1669">
            <v>2</v>
          </cell>
          <cell r="E1669" t="str">
            <v>C</v>
          </cell>
          <cell r="F1669">
            <v>513</v>
          </cell>
          <cell r="G1669" t="str">
            <v>D/M</v>
          </cell>
          <cell r="H1669" t="str">
            <v>G150</v>
          </cell>
          <cell r="I1669">
            <v>290</v>
          </cell>
        </row>
        <row r="1670">
          <cell r="C1670" t="str">
            <v>963012W667</v>
          </cell>
          <cell r="D1670">
            <v>2</v>
          </cell>
          <cell r="E1670" t="str">
            <v>C</v>
          </cell>
          <cell r="F1670">
            <v>513</v>
          </cell>
          <cell r="G1670" t="str">
            <v>D/M</v>
          </cell>
          <cell r="H1670" t="str">
            <v>G150</v>
          </cell>
          <cell r="I1670">
            <v>290</v>
          </cell>
        </row>
        <row r="1671">
          <cell r="C1671" t="str">
            <v>963012W668</v>
          </cell>
          <cell r="D1671">
            <v>2</v>
          </cell>
          <cell r="E1671" t="str">
            <v>C</v>
          </cell>
          <cell r="F1671">
            <v>513</v>
          </cell>
          <cell r="G1671" t="str">
            <v>D/M</v>
          </cell>
          <cell r="H1671" t="str">
            <v>G150</v>
          </cell>
          <cell r="I1671">
            <v>290</v>
          </cell>
        </row>
        <row r="1672">
          <cell r="C1672" t="str">
            <v>963012W669</v>
          </cell>
          <cell r="D1672">
            <v>2</v>
          </cell>
          <cell r="E1672" t="str">
            <v>C</v>
          </cell>
          <cell r="F1672">
            <v>513</v>
          </cell>
          <cell r="G1672" t="str">
            <v>D/M</v>
          </cell>
          <cell r="H1672" t="str">
            <v>G150</v>
          </cell>
          <cell r="I1672">
            <v>290</v>
          </cell>
        </row>
        <row r="1673">
          <cell r="C1673" t="str">
            <v>963012W670</v>
          </cell>
          <cell r="D1673">
            <v>2</v>
          </cell>
          <cell r="E1673" t="str">
            <v>C</v>
          </cell>
          <cell r="F1673">
            <v>513</v>
          </cell>
          <cell r="G1673" t="str">
            <v>D/M</v>
          </cell>
          <cell r="H1673" t="str">
            <v>G150</v>
          </cell>
          <cell r="I1673">
            <v>290</v>
          </cell>
        </row>
        <row r="1674">
          <cell r="C1674" t="str">
            <v>963012W800</v>
          </cell>
          <cell r="D1674">
            <v>2</v>
          </cell>
          <cell r="E1674">
            <v>0</v>
          </cell>
          <cell r="F1674">
            <v>513</v>
          </cell>
          <cell r="G1674" t="str">
            <v>D/M</v>
          </cell>
          <cell r="H1674" t="str">
            <v>G110</v>
          </cell>
          <cell r="I1674">
            <v>180</v>
          </cell>
        </row>
        <row r="1675">
          <cell r="C1675" t="str">
            <v>963012W810</v>
          </cell>
          <cell r="D1675">
            <v>2</v>
          </cell>
          <cell r="E1675">
            <v>0</v>
          </cell>
          <cell r="F1675">
            <v>513</v>
          </cell>
          <cell r="G1675" t="str">
            <v>D/M</v>
          </cell>
          <cell r="H1675" t="str">
            <v>G150</v>
          </cell>
          <cell r="I1675">
            <v>450</v>
          </cell>
        </row>
        <row r="1676">
          <cell r="C1676" t="str">
            <v>963012W860</v>
          </cell>
          <cell r="D1676">
            <v>2</v>
          </cell>
          <cell r="E1676">
            <v>0</v>
          </cell>
          <cell r="F1676">
            <v>513</v>
          </cell>
          <cell r="G1676" t="str">
            <v>D/M</v>
          </cell>
          <cell r="H1676" t="str">
            <v>G150</v>
          </cell>
          <cell r="I1676">
            <v>5220</v>
          </cell>
        </row>
        <row r="1677">
          <cell r="C1677" t="str">
            <v>963013W000</v>
          </cell>
          <cell r="D1677">
            <v>1</v>
          </cell>
          <cell r="E1677">
            <v>0</v>
          </cell>
          <cell r="F1677">
            <v>513</v>
          </cell>
          <cell r="G1677" t="str">
            <v>D/M</v>
          </cell>
          <cell r="H1677" t="str">
            <v>G150</v>
          </cell>
          <cell r="I1677">
            <v>80</v>
          </cell>
        </row>
        <row r="1678">
          <cell r="C1678" t="str">
            <v>963013W160</v>
          </cell>
          <cell r="D1678">
            <v>1</v>
          </cell>
          <cell r="E1678">
            <v>0</v>
          </cell>
          <cell r="F1678">
            <v>513</v>
          </cell>
          <cell r="G1678" t="str">
            <v>D/M</v>
          </cell>
          <cell r="H1678" t="str">
            <v>G150</v>
          </cell>
          <cell r="I1678">
            <v>120</v>
          </cell>
        </row>
        <row r="1679">
          <cell r="C1679" t="str">
            <v>963013W200</v>
          </cell>
          <cell r="D1679">
            <v>1</v>
          </cell>
          <cell r="E1679">
            <v>0</v>
          </cell>
          <cell r="F1679">
            <v>513</v>
          </cell>
          <cell r="G1679" t="str">
            <v>D/M</v>
          </cell>
          <cell r="H1679" t="str">
            <v>G150</v>
          </cell>
          <cell r="I1679">
            <v>50</v>
          </cell>
        </row>
        <row r="1680">
          <cell r="C1680" t="str">
            <v>963013W210</v>
          </cell>
          <cell r="D1680">
            <v>1</v>
          </cell>
          <cell r="E1680">
            <v>0</v>
          </cell>
          <cell r="F1680">
            <v>513</v>
          </cell>
          <cell r="G1680" t="str">
            <v>D/M</v>
          </cell>
          <cell r="H1680" t="str">
            <v>G160</v>
          </cell>
          <cell r="I1680">
            <v>140</v>
          </cell>
        </row>
        <row r="1681">
          <cell r="C1681" t="str">
            <v>963013W260</v>
          </cell>
          <cell r="D1681">
            <v>1</v>
          </cell>
          <cell r="E1681">
            <v>0</v>
          </cell>
          <cell r="F1681">
            <v>513</v>
          </cell>
          <cell r="G1681" t="str">
            <v>D/M</v>
          </cell>
          <cell r="H1681" t="str">
            <v>G150</v>
          </cell>
          <cell r="I1681">
            <v>10</v>
          </cell>
        </row>
        <row r="1682">
          <cell r="C1682" t="str">
            <v>963013W270</v>
          </cell>
          <cell r="D1682">
            <v>1</v>
          </cell>
          <cell r="E1682">
            <v>0</v>
          </cell>
          <cell r="F1682">
            <v>513</v>
          </cell>
          <cell r="G1682" t="str">
            <v>D/M</v>
          </cell>
          <cell r="H1682" t="str">
            <v>G160</v>
          </cell>
          <cell r="I1682">
            <v>10</v>
          </cell>
        </row>
        <row r="1683">
          <cell r="C1683" t="str">
            <v>963022W100</v>
          </cell>
          <cell r="D1683">
            <v>2</v>
          </cell>
          <cell r="E1683" t="str">
            <v>C</v>
          </cell>
          <cell r="F1683">
            <v>513</v>
          </cell>
          <cell r="G1683" t="str">
            <v>D/M</v>
          </cell>
          <cell r="H1683" t="str">
            <v>G160</v>
          </cell>
          <cell r="I1683">
            <v>200</v>
          </cell>
        </row>
        <row r="1684">
          <cell r="C1684" t="str">
            <v>963022W101</v>
          </cell>
          <cell r="D1684">
            <v>2</v>
          </cell>
          <cell r="E1684" t="str">
            <v>C</v>
          </cell>
          <cell r="F1684">
            <v>513</v>
          </cell>
          <cell r="G1684" t="str">
            <v>D/M</v>
          </cell>
          <cell r="H1684" t="str">
            <v>G160</v>
          </cell>
          <cell r="I1684">
            <v>200</v>
          </cell>
        </row>
        <row r="1685">
          <cell r="C1685" t="str">
            <v>963022W102</v>
          </cell>
          <cell r="D1685">
            <v>2</v>
          </cell>
          <cell r="E1685" t="str">
            <v>C</v>
          </cell>
          <cell r="F1685">
            <v>513</v>
          </cell>
          <cell r="G1685" t="str">
            <v>D/M</v>
          </cell>
          <cell r="H1685" t="str">
            <v>G160</v>
          </cell>
          <cell r="I1685">
            <v>200</v>
          </cell>
        </row>
        <row r="1686">
          <cell r="C1686" t="str">
            <v>963022W103</v>
          </cell>
          <cell r="D1686">
            <v>2</v>
          </cell>
          <cell r="E1686" t="str">
            <v>C</v>
          </cell>
          <cell r="F1686">
            <v>513</v>
          </cell>
          <cell r="G1686" t="str">
            <v>D/M</v>
          </cell>
          <cell r="H1686" t="str">
            <v>G160</v>
          </cell>
          <cell r="I1686">
            <v>200</v>
          </cell>
        </row>
        <row r="1687">
          <cell r="C1687" t="str">
            <v>963022W104</v>
          </cell>
          <cell r="D1687">
            <v>2</v>
          </cell>
          <cell r="E1687" t="str">
            <v>C</v>
          </cell>
          <cell r="F1687">
            <v>513</v>
          </cell>
          <cell r="G1687" t="str">
            <v>D/M</v>
          </cell>
          <cell r="H1687" t="str">
            <v>G160</v>
          </cell>
          <cell r="I1687">
            <v>200</v>
          </cell>
        </row>
        <row r="1688">
          <cell r="C1688" t="str">
            <v>963022W160</v>
          </cell>
          <cell r="D1688">
            <v>2</v>
          </cell>
          <cell r="E1688" t="str">
            <v>C</v>
          </cell>
          <cell r="F1688">
            <v>513</v>
          </cell>
          <cell r="G1688" t="str">
            <v>D/M</v>
          </cell>
          <cell r="H1688" t="str">
            <v>G160</v>
          </cell>
          <cell r="I1688">
            <v>200</v>
          </cell>
        </row>
        <row r="1689">
          <cell r="C1689" t="str">
            <v>963022W161</v>
          </cell>
          <cell r="D1689">
            <v>2</v>
          </cell>
          <cell r="E1689" t="str">
            <v>C</v>
          </cell>
          <cell r="F1689">
            <v>513</v>
          </cell>
          <cell r="G1689" t="str">
            <v>D/M</v>
          </cell>
          <cell r="H1689" t="str">
            <v>G160</v>
          </cell>
          <cell r="I1689">
            <v>200</v>
          </cell>
        </row>
        <row r="1690">
          <cell r="C1690" t="str">
            <v>963022W162</v>
          </cell>
          <cell r="D1690">
            <v>2</v>
          </cell>
          <cell r="E1690" t="str">
            <v>C</v>
          </cell>
          <cell r="F1690">
            <v>513</v>
          </cell>
          <cell r="G1690" t="str">
            <v>D/M</v>
          </cell>
          <cell r="H1690" t="str">
            <v>G160</v>
          </cell>
          <cell r="I1690">
            <v>200</v>
          </cell>
        </row>
        <row r="1691">
          <cell r="C1691" t="str">
            <v>963022W163</v>
          </cell>
          <cell r="D1691">
            <v>2</v>
          </cell>
          <cell r="E1691" t="str">
            <v>C</v>
          </cell>
          <cell r="F1691">
            <v>513</v>
          </cell>
          <cell r="G1691" t="str">
            <v>D/M</v>
          </cell>
          <cell r="H1691" t="str">
            <v>G160</v>
          </cell>
          <cell r="I1691">
            <v>200</v>
          </cell>
        </row>
        <row r="1692">
          <cell r="C1692" t="str">
            <v>963022W164</v>
          </cell>
          <cell r="D1692">
            <v>2</v>
          </cell>
          <cell r="E1692" t="str">
            <v>C</v>
          </cell>
          <cell r="F1692">
            <v>513</v>
          </cell>
          <cell r="G1692" t="str">
            <v>D/M</v>
          </cell>
          <cell r="H1692" t="str">
            <v>G160</v>
          </cell>
          <cell r="I1692">
            <v>200</v>
          </cell>
        </row>
        <row r="1693">
          <cell r="C1693" t="str">
            <v>963022W200</v>
          </cell>
          <cell r="D1693">
            <v>2</v>
          </cell>
          <cell r="E1693" t="str">
            <v>C</v>
          </cell>
          <cell r="F1693">
            <v>513</v>
          </cell>
          <cell r="G1693" t="str">
            <v>D/M</v>
          </cell>
          <cell r="H1693" t="str">
            <v>G150</v>
          </cell>
          <cell r="I1693">
            <v>80</v>
          </cell>
        </row>
        <row r="1694">
          <cell r="C1694" t="str">
            <v>963022W201</v>
          </cell>
          <cell r="D1694">
            <v>2</v>
          </cell>
          <cell r="E1694" t="str">
            <v>C</v>
          </cell>
          <cell r="F1694">
            <v>513</v>
          </cell>
          <cell r="G1694" t="str">
            <v>D/M</v>
          </cell>
          <cell r="H1694" t="str">
            <v>G150</v>
          </cell>
          <cell r="I1694">
            <v>80</v>
          </cell>
        </row>
        <row r="1695">
          <cell r="C1695" t="str">
            <v>963022W202</v>
          </cell>
          <cell r="D1695">
            <v>2</v>
          </cell>
          <cell r="E1695" t="str">
            <v>C</v>
          </cell>
          <cell r="F1695">
            <v>513</v>
          </cell>
          <cell r="G1695" t="str">
            <v>D/M</v>
          </cell>
          <cell r="H1695" t="str">
            <v>G150</v>
          </cell>
          <cell r="I1695">
            <v>80</v>
          </cell>
        </row>
        <row r="1696">
          <cell r="C1696" t="str">
            <v>963022W203</v>
          </cell>
          <cell r="D1696">
            <v>2</v>
          </cell>
          <cell r="E1696" t="str">
            <v>C</v>
          </cell>
          <cell r="F1696">
            <v>513</v>
          </cell>
          <cell r="G1696" t="str">
            <v>D/M</v>
          </cell>
          <cell r="H1696" t="str">
            <v>G150</v>
          </cell>
          <cell r="I1696">
            <v>80</v>
          </cell>
        </row>
        <row r="1697">
          <cell r="C1697" t="str">
            <v>963022W204</v>
          </cell>
          <cell r="D1697">
            <v>2</v>
          </cell>
          <cell r="E1697" t="str">
            <v>C</v>
          </cell>
          <cell r="F1697">
            <v>513</v>
          </cell>
          <cell r="G1697" t="str">
            <v>D/M</v>
          </cell>
          <cell r="H1697" t="str">
            <v>G150</v>
          </cell>
          <cell r="I1697">
            <v>80</v>
          </cell>
        </row>
        <row r="1698">
          <cell r="C1698" t="str">
            <v>963022W260</v>
          </cell>
          <cell r="D1698">
            <v>2</v>
          </cell>
          <cell r="E1698" t="str">
            <v>C</v>
          </cell>
          <cell r="F1698">
            <v>513</v>
          </cell>
          <cell r="G1698" t="str">
            <v>D/M</v>
          </cell>
          <cell r="H1698" t="str">
            <v>G150</v>
          </cell>
          <cell r="I1698">
            <v>20</v>
          </cell>
        </row>
        <row r="1699">
          <cell r="C1699" t="str">
            <v>963022W261</v>
          </cell>
          <cell r="D1699">
            <v>2</v>
          </cell>
          <cell r="E1699" t="str">
            <v>C</v>
          </cell>
          <cell r="F1699">
            <v>513</v>
          </cell>
          <cell r="G1699" t="str">
            <v>D/M</v>
          </cell>
          <cell r="H1699" t="str">
            <v>G150</v>
          </cell>
          <cell r="I1699">
            <v>20</v>
          </cell>
        </row>
        <row r="1700">
          <cell r="C1700" t="str">
            <v>963022W262</v>
          </cell>
          <cell r="D1700">
            <v>2</v>
          </cell>
          <cell r="E1700" t="str">
            <v>C</v>
          </cell>
          <cell r="F1700">
            <v>513</v>
          </cell>
          <cell r="G1700" t="str">
            <v>D/M</v>
          </cell>
          <cell r="H1700" t="str">
            <v>G150</v>
          </cell>
          <cell r="I1700">
            <v>20</v>
          </cell>
        </row>
        <row r="1701">
          <cell r="C1701" t="str">
            <v>963022W263</v>
          </cell>
          <cell r="D1701">
            <v>2</v>
          </cell>
          <cell r="E1701" t="str">
            <v>C</v>
          </cell>
          <cell r="F1701">
            <v>513</v>
          </cell>
          <cell r="G1701" t="str">
            <v>D/M</v>
          </cell>
          <cell r="H1701" t="str">
            <v>G150</v>
          </cell>
          <cell r="I1701">
            <v>20</v>
          </cell>
        </row>
        <row r="1702">
          <cell r="C1702" t="str">
            <v>963022W264</v>
          </cell>
          <cell r="D1702">
            <v>2</v>
          </cell>
          <cell r="E1702" t="str">
            <v>C</v>
          </cell>
          <cell r="F1702">
            <v>513</v>
          </cell>
          <cell r="G1702" t="str">
            <v>D/M</v>
          </cell>
          <cell r="H1702" t="str">
            <v>G150</v>
          </cell>
          <cell r="I1702">
            <v>20</v>
          </cell>
        </row>
        <row r="1703">
          <cell r="C1703" t="str">
            <v>963022W300</v>
          </cell>
          <cell r="D1703">
            <v>2</v>
          </cell>
          <cell r="E1703" t="str">
            <v>C</v>
          </cell>
          <cell r="F1703">
            <v>513</v>
          </cell>
          <cell r="G1703" t="str">
            <v>D/M</v>
          </cell>
          <cell r="H1703" t="str">
            <v>G150</v>
          </cell>
          <cell r="I1703">
            <v>80</v>
          </cell>
        </row>
        <row r="1704">
          <cell r="C1704" t="str">
            <v>963022W301</v>
          </cell>
          <cell r="D1704">
            <v>2</v>
          </cell>
          <cell r="E1704" t="str">
            <v>C</v>
          </cell>
          <cell r="F1704">
            <v>513</v>
          </cell>
          <cell r="G1704" t="str">
            <v>D/M</v>
          </cell>
          <cell r="H1704" t="str">
            <v>G150</v>
          </cell>
          <cell r="I1704">
            <v>80</v>
          </cell>
        </row>
        <row r="1705">
          <cell r="C1705" t="str">
            <v>963022W360</v>
          </cell>
          <cell r="D1705">
            <v>2</v>
          </cell>
          <cell r="E1705" t="str">
            <v>C</v>
          </cell>
          <cell r="F1705">
            <v>513</v>
          </cell>
          <cell r="G1705" t="str">
            <v>D/M</v>
          </cell>
          <cell r="H1705" t="str">
            <v>G150</v>
          </cell>
          <cell r="I1705">
            <v>20</v>
          </cell>
        </row>
        <row r="1706">
          <cell r="C1706" t="str">
            <v>963022W361</v>
          </cell>
          <cell r="D1706">
            <v>2</v>
          </cell>
          <cell r="E1706" t="str">
            <v>C</v>
          </cell>
          <cell r="F1706">
            <v>513</v>
          </cell>
          <cell r="G1706" t="str">
            <v>D/M</v>
          </cell>
          <cell r="H1706" t="str">
            <v>G150</v>
          </cell>
          <cell r="I1706">
            <v>20</v>
          </cell>
        </row>
        <row r="1707">
          <cell r="C1707" t="str">
            <v>963022W400</v>
          </cell>
          <cell r="D1707">
            <v>2</v>
          </cell>
          <cell r="E1707" t="str">
            <v>C</v>
          </cell>
          <cell r="F1707">
            <v>513</v>
          </cell>
          <cell r="G1707" t="str">
            <v>D/M</v>
          </cell>
          <cell r="H1707" t="str">
            <v>G160</v>
          </cell>
          <cell r="I1707">
            <v>200</v>
          </cell>
        </row>
        <row r="1708">
          <cell r="C1708" t="str">
            <v>963022W401</v>
          </cell>
          <cell r="D1708">
            <v>2</v>
          </cell>
          <cell r="E1708" t="str">
            <v>C</v>
          </cell>
          <cell r="F1708">
            <v>513</v>
          </cell>
          <cell r="G1708" t="str">
            <v>D/M</v>
          </cell>
          <cell r="H1708" t="str">
            <v>G160</v>
          </cell>
          <cell r="I1708">
            <v>200</v>
          </cell>
        </row>
        <row r="1709">
          <cell r="C1709" t="str">
            <v>963022W460</v>
          </cell>
          <cell r="D1709">
            <v>2</v>
          </cell>
          <cell r="E1709" t="str">
            <v>C</v>
          </cell>
          <cell r="F1709">
            <v>513</v>
          </cell>
          <cell r="G1709" t="str">
            <v>D/M</v>
          </cell>
          <cell r="H1709" t="str">
            <v>G160</v>
          </cell>
          <cell r="I1709">
            <v>200</v>
          </cell>
        </row>
        <row r="1710">
          <cell r="C1710" t="str">
            <v>963022W461</v>
          </cell>
          <cell r="D1710">
            <v>2</v>
          </cell>
          <cell r="E1710" t="str">
            <v>C</v>
          </cell>
          <cell r="F1710">
            <v>513</v>
          </cell>
          <cell r="G1710" t="str">
            <v>D/M</v>
          </cell>
          <cell r="H1710" t="str">
            <v>G160</v>
          </cell>
          <cell r="I1710">
            <v>200</v>
          </cell>
        </row>
        <row r="1711">
          <cell r="C1711" t="str">
            <v>963022W660</v>
          </cell>
          <cell r="D1711">
            <v>2</v>
          </cell>
          <cell r="E1711" t="str">
            <v>C</v>
          </cell>
          <cell r="F1711">
            <v>513</v>
          </cell>
          <cell r="G1711" t="str">
            <v>D/M</v>
          </cell>
          <cell r="H1711" t="str">
            <v>G150</v>
          </cell>
          <cell r="I1711">
            <v>290</v>
          </cell>
        </row>
        <row r="1712">
          <cell r="C1712" t="str">
            <v>963022W661</v>
          </cell>
          <cell r="D1712">
            <v>2</v>
          </cell>
          <cell r="E1712" t="str">
            <v>C</v>
          </cell>
          <cell r="F1712">
            <v>513</v>
          </cell>
          <cell r="G1712" t="str">
            <v>D/M</v>
          </cell>
          <cell r="H1712" t="str">
            <v>G150</v>
          </cell>
          <cell r="I1712">
            <v>290</v>
          </cell>
        </row>
        <row r="1713">
          <cell r="C1713" t="str">
            <v>963022W662</v>
          </cell>
          <cell r="D1713">
            <v>2</v>
          </cell>
          <cell r="E1713" t="str">
            <v>C</v>
          </cell>
          <cell r="F1713">
            <v>513</v>
          </cell>
          <cell r="G1713" t="str">
            <v>D/M</v>
          </cell>
          <cell r="H1713" t="str">
            <v>G150</v>
          </cell>
          <cell r="I1713">
            <v>290</v>
          </cell>
        </row>
        <row r="1714">
          <cell r="C1714" t="str">
            <v>963022W663</v>
          </cell>
          <cell r="D1714">
            <v>2</v>
          </cell>
          <cell r="E1714" t="str">
            <v>C</v>
          </cell>
          <cell r="F1714">
            <v>513</v>
          </cell>
          <cell r="G1714" t="str">
            <v>D/M</v>
          </cell>
          <cell r="H1714" t="str">
            <v>G150</v>
          </cell>
          <cell r="I1714">
            <v>290</v>
          </cell>
        </row>
        <row r="1715">
          <cell r="C1715" t="str">
            <v>963022W664</v>
          </cell>
          <cell r="D1715">
            <v>2</v>
          </cell>
          <cell r="E1715" t="str">
            <v>C</v>
          </cell>
          <cell r="F1715">
            <v>513</v>
          </cell>
          <cell r="G1715" t="str">
            <v>D/M</v>
          </cell>
          <cell r="H1715" t="str">
            <v>G150</v>
          </cell>
          <cell r="I1715">
            <v>290</v>
          </cell>
        </row>
        <row r="1716">
          <cell r="C1716" t="str">
            <v>963022W665</v>
          </cell>
          <cell r="D1716">
            <v>2</v>
          </cell>
          <cell r="E1716" t="str">
            <v>C</v>
          </cell>
          <cell r="F1716">
            <v>513</v>
          </cell>
          <cell r="G1716" t="str">
            <v>D/M</v>
          </cell>
          <cell r="H1716" t="str">
            <v>G150</v>
          </cell>
          <cell r="I1716">
            <v>290</v>
          </cell>
        </row>
        <row r="1717">
          <cell r="C1717" t="str">
            <v>963022W666</v>
          </cell>
          <cell r="D1717">
            <v>2</v>
          </cell>
          <cell r="E1717" t="str">
            <v>C</v>
          </cell>
          <cell r="F1717">
            <v>513</v>
          </cell>
          <cell r="G1717" t="str">
            <v>D/M</v>
          </cell>
          <cell r="H1717" t="str">
            <v>G150</v>
          </cell>
          <cell r="I1717">
            <v>290</v>
          </cell>
        </row>
        <row r="1718">
          <cell r="C1718" t="str">
            <v>963022W667</v>
          </cell>
          <cell r="D1718">
            <v>2</v>
          </cell>
          <cell r="E1718" t="str">
            <v>C</v>
          </cell>
          <cell r="F1718">
            <v>513</v>
          </cell>
          <cell r="G1718" t="str">
            <v>D/M</v>
          </cell>
          <cell r="H1718" t="str">
            <v>G150</v>
          </cell>
          <cell r="I1718">
            <v>290</v>
          </cell>
        </row>
        <row r="1719">
          <cell r="C1719" t="str">
            <v>963022W668</v>
          </cell>
          <cell r="D1719">
            <v>2</v>
          </cell>
          <cell r="E1719" t="str">
            <v>C</v>
          </cell>
          <cell r="F1719">
            <v>513</v>
          </cell>
          <cell r="G1719" t="str">
            <v>D/M</v>
          </cell>
          <cell r="H1719" t="str">
            <v>G150</v>
          </cell>
          <cell r="I1719">
            <v>290</v>
          </cell>
        </row>
        <row r="1720">
          <cell r="C1720" t="str">
            <v>963022W669</v>
          </cell>
          <cell r="D1720">
            <v>2</v>
          </cell>
          <cell r="E1720" t="str">
            <v>C</v>
          </cell>
          <cell r="F1720">
            <v>513</v>
          </cell>
          <cell r="G1720" t="str">
            <v>D/M</v>
          </cell>
          <cell r="H1720" t="str">
            <v>G150</v>
          </cell>
          <cell r="I1720">
            <v>290</v>
          </cell>
        </row>
        <row r="1721">
          <cell r="C1721" t="str">
            <v>963022W670</v>
          </cell>
          <cell r="D1721">
            <v>2</v>
          </cell>
          <cell r="E1721" t="str">
            <v>C</v>
          </cell>
          <cell r="F1721">
            <v>513</v>
          </cell>
          <cell r="G1721" t="str">
            <v>D/M</v>
          </cell>
          <cell r="H1721" t="str">
            <v>G150</v>
          </cell>
          <cell r="I1721">
            <v>290</v>
          </cell>
        </row>
        <row r="1722">
          <cell r="C1722" t="str">
            <v>963022W800</v>
          </cell>
          <cell r="D1722">
            <v>2</v>
          </cell>
          <cell r="E1722">
            <v>0</v>
          </cell>
          <cell r="F1722">
            <v>513</v>
          </cell>
          <cell r="G1722" t="str">
            <v>D/M</v>
          </cell>
          <cell r="H1722" t="str">
            <v>G110</v>
          </cell>
          <cell r="I1722">
            <v>180</v>
          </cell>
        </row>
        <row r="1723">
          <cell r="C1723" t="str">
            <v>963022W810</v>
          </cell>
          <cell r="D1723">
            <v>2</v>
          </cell>
          <cell r="E1723">
            <v>0</v>
          </cell>
          <cell r="F1723">
            <v>513</v>
          </cell>
          <cell r="G1723" t="str">
            <v>D/M</v>
          </cell>
          <cell r="H1723" t="str">
            <v>G150</v>
          </cell>
          <cell r="I1723">
            <v>450</v>
          </cell>
        </row>
        <row r="1724">
          <cell r="C1724" t="str">
            <v>963022W860</v>
          </cell>
          <cell r="D1724">
            <v>2</v>
          </cell>
          <cell r="E1724">
            <v>0</v>
          </cell>
          <cell r="F1724">
            <v>513</v>
          </cell>
          <cell r="G1724" t="str">
            <v>D/M</v>
          </cell>
          <cell r="H1724" t="str">
            <v>G150</v>
          </cell>
          <cell r="I1724">
            <v>5220</v>
          </cell>
        </row>
        <row r="1725">
          <cell r="C1725" t="str">
            <v>963023W000</v>
          </cell>
          <cell r="D1725">
            <v>2</v>
          </cell>
          <cell r="E1725">
            <v>0</v>
          </cell>
          <cell r="F1725">
            <v>513</v>
          </cell>
          <cell r="G1725" t="str">
            <v>D/M</v>
          </cell>
          <cell r="H1725" t="str">
            <v>G150</v>
          </cell>
          <cell r="I1725">
            <v>80</v>
          </cell>
        </row>
        <row r="1726">
          <cell r="C1726" t="str">
            <v>963023W160</v>
          </cell>
          <cell r="D1726">
            <v>2</v>
          </cell>
          <cell r="E1726">
            <v>0</v>
          </cell>
          <cell r="F1726">
            <v>513</v>
          </cell>
          <cell r="G1726" t="str">
            <v>D/M</v>
          </cell>
          <cell r="H1726" t="str">
            <v>G150</v>
          </cell>
          <cell r="I1726">
            <v>120</v>
          </cell>
        </row>
        <row r="1727">
          <cell r="C1727" t="str">
            <v>963023W200</v>
          </cell>
          <cell r="D1727">
            <v>2</v>
          </cell>
          <cell r="E1727">
            <v>0</v>
          </cell>
          <cell r="F1727">
            <v>513</v>
          </cell>
          <cell r="G1727" t="str">
            <v>D/M</v>
          </cell>
          <cell r="H1727" t="str">
            <v>G150</v>
          </cell>
          <cell r="I1727">
            <v>50</v>
          </cell>
        </row>
        <row r="1728">
          <cell r="C1728" t="str">
            <v>963023W210</v>
          </cell>
          <cell r="D1728">
            <v>2</v>
          </cell>
          <cell r="E1728">
            <v>0</v>
          </cell>
          <cell r="F1728">
            <v>513</v>
          </cell>
          <cell r="G1728" t="str">
            <v>D/M</v>
          </cell>
          <cell r="H1728" t="str">
            <v>G160</v>
          </cell>
          <cell r="I1728">
            <v>140</v>
          </cell>
        </row>
        <row r="1729">
          <cell r="C1729" t="str">
            <v>963023W260</v>
          </cell>
          <cell r="D1729">
            <v>2</v>
          </cell>
          <cell r="E1729">
            <v>0</v>
          </cell>
          <cell r="F1729">
            <v>513</v>
          </cell>
          <cell r="G1729" t="str">
            <v>D/M</v>
          </cell>
          <cell r="H1729" t="str">
            <v>G150</v>
          </cell>
          <cell r="I1729">
            <v>10</v>
          </cell>
        </row>
        <row r="1730">
          <cell r="C1730" t="str">
            <v>963023W270</v>
          </cell>
          <cell r="D1730">
            <v>2</v>
          </cell>
          <cell r="E1730">
            <v>0</v>
          </cell>
          <cell r="F1730">
            <v>513</v>
          </cell>
          <cell r="G1730" t="str">
            <v>D/M</v>
          </cell>
          <cell r="H1730" t="str">
            <v>G160</v>
          </cell>
          <cell r="I1730">
            <v>10</v>
          </cell>
        </row>
        <row r="1731">
          <cell r="C1731" t="str">
            <v>963212W102</v>
          </cell>
          <cell r="D1731">
            <v>2</v>
          </cell>
          <cell r="E1731">
            <v>0</v>
          </cell>
          <cell r="F1731">
            <v>563</v>
          </cell>
          <cell r="G1731" t="str">
            <v>I/M</v>
          </cell>
          <cell r="H1731" t="str">
            <v>H900</v>
          </cell>
          <cell r="I1731">
            <v>2500</v>
          </cell>
        </row>
        <row r="1732">
          <cell r="C1732" t="str">
            <v>963302W001</v>
          </cell>
          <cell r="D1732">
            <v>2</v>
          </cell>
          <cell r="E1732" t="str">
            <v>C</v>
          </cell>
          <cell r="F1732">
            <v>513</v>
          </cell>
          <cell r="G1732" t="str">
            <v>FU/M</v>
          </cell>
          <cell r="H1732" t="str">
            <v>G020</v>
          </cell>
          <cell r="I1732">
            <v>200</v>
          </cell>
        </row>
        <row r="1733">
          <cell r="C1733" t="str">
            <v>963302W006</v>
          </cell>
          <cell r="D1733">
            <v>2</v>
          </cell>
          <cell r="E1733" t="str">
            <v>C</v>
          </cell>
          <cell r="F1733">
            <v>513</v>
          </cell>
          <cell r="G1733" t="str">
            <v>FU/M</v>
          </cell>
          <cell r="H1733" t="str">
            <v>G020</v>
          </cell>
          <cell r="I1733">
            <v>200</v>
          </cell>
        </row>
        <row r="1734">
          <cell r="C1734" t="str">
            <v>963302W100</v>
          </cell>
          <cell r="D1734">
            <v>2</v>
          </cell>
          <cell r="E1734" t="str">
            <v>C</v>
          </cell>
          <cell r="F1734">
            <v>513</v>
          </cell>
          <cell r="G1734" t="str">
            <v>FU/M</v>
          </cell>
          <cell r="H1734" t="str">
            <v>G020</v>
          </cell>
          <cell r="I1734">
            <v>360</v>
          </cell>
        </row>
        <row r="1735">
          <cell r="C1735" t="str">
            <v>963302W101</v>
          </cell>
          <cell r="D1735">
            <v>2</v>
          </cell>
          <cell r="E1735" t="str">
            <v>C</v>
          </cell>
          <cell r="F1735">
            <v>513</v>
          </cell>
          <cell r="G1735" t="str">
            <v>FU/M</v>
          </cell>
          <cell r="H1735" t="str">
            <v>G020</v>
          </cell>
          <cell r="I1735">
            <v>360</v>
          </cell>
        </row>
        <row r="1736">
          <cell r="C1736" t="str">
            <v>963302W102</v>
          </cell>
          <cell r="D1736">
            <v>2</v>
          </cell>
          <cell r="E1736" t="str">
            <v>C</v>
          </cell>
          <cell r="F1736">
            <v>513</v>
          </cell>
          <cell r="G1736" t="str">
            <v>FU/M</v>
          </cell>
          <cell r="H1736" t="str">
            <v>G020</v>
          </cell>
          <cell r="I1736">
            <v>360</v>
          </cell>
        </row>
        <row r="1737">
          <cell r="C1737" t="str">
            <v>963302W103</v>
          </cell>
          <cell r="D1737">
            <v>2</v>
          </cell>
          <cell r="E1737" t="str">
            <v>C</v>
          </cell>
          <cell r="F1737">
            <v>513</v>
          </cell>
          <cell r="G1737" t="str">
            <v>FU/M</v>
          </cell>
          <cell r="H1737" t="str">
            <v>G020</v>
          </cell>
          <cell r="I1737">
            <v>360</v>
          </cell>
        </row>
        <row r="1738">
          <cell r="C1738" t="str">
            <v>963302W104</v>
          </cell>
          <cell r="D1738">
            <v>2</v>
          </cell>
          <cell r="E1738" t="str">
            <v>C</v>
          </cell>
          <cell r="F1738">
            <v>513</v>
          </cell>
          <cell r="G1738" t="str">
            <v>FU/M</v>
          </cell>
          <cell r="H1738" t="str">
            <v>G020</v>
          </cell>
          <cell r="I1738">
            <v>360</v>
          </cell>
        </row>
        <row r="1739">
          <cell r="C1739" t="str">
            <v>963302W105</v>
          </cell>
          <cell r="D1739">
            <v>2</v>
          </cell>
          <cell r="E1739" t="str">
            <v>C</v>
          </cell>
          <cell r="F1739">
            <v>513</v>
          </cell>
          <cell r="G1739" t="str">
            <v>FU/M</v>
          </cell>
          <cell r="H1739" t="str">
            <v>G020</v>
          </cell>
          <cell r="I1739">
            <v>360</v>
          </cell>
        </row>
        <row r="1740">
          <cell r="C1740" t="str">
            <v>963302W106</v>
          </cell>
          <cell r="D1740">
            <v>2</v>
          </cell>
          <cell r="E1740" t="str">
            <v>C</v>
          </cell>
          <cell r="F1740">
            <v>513</v>
          </cell>
          <cell r="G1740" t="str">
            <v>FU/M</v>
          </cell>
          <cell r="H1740" t="str">
            <v>G020</v>
          </cell>
          <cell r="I1740">
            <v>360</v>
          </cell>
        </row>
        <row r="1741">
          <cell r="C1741" t="str">
            <v>260109L000</v>
          </cell>
          <cell r="D1741">
            <v>1</v>
          </cell>
          <cell r="E1741">
            <v>0</v>
          </cell>
          <cell r="F1741">
            <v>155</v>
          </cell>
          <cell r="G1741" t="str">
            <v>H/L</v>
          </cell>
          <cell r="H1741" t="str">
            <v>A310</v>
          </cell>
          <cell r="I1741">
            <v>900</v>
          </cell>
        </row>
        <row r="1742">
          <cell r="C1742" t="str">
            <v>260109L010</v>
          </cell>
          <cell r="D1742">
            <v>1</v>
          </cell>
          <cell r="E1742">
            <v>0</v>
          </cell>
          <cell r="F1742">
            <v>155</v>
          </cell>
          <cell r="G1742" t="str">
            <v>H/L</v>
          </cell>
          <cell r="H1742" t="str">
            <v>A310</v>
          </cell>
          <cell r="I1742">
            <v>400</v>
          </cell>
        </row>
        <row r="1743">
          <cell r="C1743" t="str">
            <v>260609L000</v>
          </cell>
          <cell r="D1743">
            <v>1</v>
          </cell>
          <cell r="E1743">
            <v>0</v>
          </cell>
          <cell r="F1743">
            <v>155</v>
          </cell>
          <cell r="G1743" t="str">
            <v>H/L</v>
          </cell>
          <cell r="H1743" t="str">
            <v>A310</v>
          </cell>
          <cell r="I1743">
            <v>900</v>
          </cell>
        </row>
        <row r="1744">
          <cell r="C1744" t="str">
            <v>260609L010</v>
          </cell>
          <cell r="D1744">
            <v>1</v>
          </cell>
          <cell r="E1744">
            <v>0</v>
          </cell>
          <cell r="F1744">
            <v>155</v>
          </cell>
          <cell r="G1744" t="str">
            <v>H/L</v>
          </cell>
          <cell r="H1744" t="str">
            <v>A310</v>
          </cell>
          <cell r="I1744">
            <v>400</v>
          </cell>
        </row>
        <row r="1745">
          <cell r="C1745" t="str">
            <v>261209L000</v>
          </cell>
          <cell r="D1745">
            <v>1</v>
          </cell>
          <cell r="E1745">
            <v>0</v>
          </cell>
          <cell r="F1745">
            <v>415</v>
          </cell>
          <cell r="G1745" t="str">
            <v>FC/L</v>
          </cell>
          <cell r="H1745" t="str">
            <v>B100</v>
          </cell>
          <cell r="I1745">
            <v>900</v>
          </cell>
        </row>
        <row r="1746">
          <cell r="C1746" t="str">
            <v>261209L010</v>
          </cell>
          <cell r="D1746">
            <v>1</v>
          </cell>
          <cell r="E1746">
            <v>0</v>
          </cell>
          <cell r="F1746">
            <v>415</v>
          </cell>
          <cell r="G1746" t="str">
            <v>FC/L</v>
          </cell>
          <cell r="H1746" t="str">
            <v>B100</v>
          </cell>
          <cell r="I1746">
            <v>400</v>
          </cell>
        </row>
        <row r="1747">
          <cell r="C1747" t="str">
            <v>261259L000</v>
          </cell>
          <cell r="D1747">
            <v>1</v>
          </cell>
          <cell r="E1747">
            <v>0</v>
          </cell>
          <cell r="F1747">
            <v>415</v>
          </cell>
          <cell r="G1747" t="str">
            <v>FC/L</v>
          </cell>
          <cell r="H1747" t="str">
            <v>B100</v>
          </cell>
          <cell r="I1747">
            <v>900</v>
          </cell>
        </row>
        <row r="1748">
          <cell r="C1748" t="str">
            <v>261259L010</v>
          </cell>
          <cell r="D1748">
            <v>1</v>
          </cell>
          <cell r="E1748">
            <v>0</v>
          </cell>
          <cell r="F1748">
            <v>415</v>
          </cell>
          <cell r="G1748" t="str">
            <v>FC/L</v>
          </cell>
          <cell r="H1748" t="str">
            <v>B100</v>
          </cell>
          <cell r="I1748">
            <v>400</v>
          </cell>
        </row>
        <row r="1749">
          <cell r="C1749" t="str">
            <v>265409L000</v>
          </cell>
          <cell r="D1749">
            <v>1</v>
          </cell>
          <cell r="E1749">
            <v>0</v>
          </cell>
          <cell r="F1749">
            <v>414</v>
          </cell>
          <cell r="G1749" t="str">
            <v>B/L</v>
          </cell>
          <cell r="H1749" t="str">
            <v>B040</v>
          </cell>
          <cell r="I1749">
            <v>260</v>
          </cell>
        </row>
        <row r="1750">
          <cell r="C1750" t="str">
            <v>265409L001</v>
          </cell>
          <cell r="D1750">
            <v>1</v>
          </cell>
          <cell r="E1750">
            <v>0</v>
          </cell>
          <cell r="F1750">
            <v>414</v>
          </cell>
          <cell r="G1750" t="str">
            <v>B/L</v>
          </cell>
          <cell r="H1750" t="str">
            <v>B040</v>
          </cell>
          <cell r="I1750">
            <v>260</v>
          </cell>
        </row>
        <row r="1751">
          <cell r="C1751" t="str">
            <v>265409L002</v>
          </cell>
          <cell r="D1751">
            <v>1</v>
          </cell>
          <cell r="E1751">
            <v>0</v>
          </cell>
          <cell r="F1751">
            <v>414</v>
          </cell>
          <cell r="G1751" t="str">
            <v>B/L</v>
          </cell>
          <cell r="H1751" t="str">
            <v>B040</v>
          </cell>
          <cell r="I1751">
            <v>260</v>
          </cell>
        </row>
        <row r="1752">
          <cell r="C1752" t="str">
            <v>265409L003</v>
          </cell>
          <cell r="D1752">
            <v>1</v>
          </cell>
          <cell r="E1752">
            <v>0</v>
          </cell>
          <cell r="F1752">
            <v>414</v>
          </cell>
          <cell r="G1752" t="str">
            <v>B/L</v>
          </cell>
          <cell r="H1752" t="str">
            <v>B040</v>
          </cell>
          <cell r="I1752">
            <v>260</v>
          </cell>
        </row>
        <row r="1753">
          <cell r="C1753" t="str">
            <v>265409L004</v>
          </cell>
          <cell r="D1753">
            <v>1</v>
          </cell>
          <cell r="E1753">
            <v>0</v>
          </cell>
          <cell r="F1753">
            <v>414</v>
          </cell>
          <cell r="G1753" t="str">
            <v>B/L</v>
          </cell>
          <cell r="H1753" t="str">
            <v>B040</v>
          </cell>
          <cell r="I1753">
            <v>260</v>
          </cell>
        </row>
        <row r="1754">
          <cell r="C1754" t="str">
            <v>265409L005</v>
          </cell>
          <cell r="D1754">
            <v>2</v>
          </cell>
          <cell r="E1754">
            <v>0</v>
          </cell>
          <cell r="F1754">
            <v>414</v>
          </cell>
          <cell r="G1754" t="str">
            <v>B/L</v>
          </cell>
          <cell r="H1754" t="str">
            <v>B040</v>
          </cell>
          <cell r="I1754">
            <v>100</v>
          </cell>
        </row>
        <row r="1755">
          <cell r="C1755" t="str">
            <v>288826J000</v>
          </cell>
          <cell r="D1755">
            <v>3</v>
          </cell>
          <cell r="E1755">
            <v>0</v>
          </cell>
          <cell r="F1755">
            <v>714</v>
          </cell>
          <cell r="G1755" t="str">
            <v>C0VER</v>
          </cell>
          <cell r="H1755">
            <v>0</v>
          </cell>
          <cell r="I1755">
            <v>2600</v>
          </cell>
        </row>
        <row r="1756">
          <cell r="C1756" t="str">
            <v>9630139U01</v>
          </cell>
          <cell r="D1756">
            <v>3</v>
          </cell>
          <cell r="E1756">
            <v>0</v>
          </cell>
          <cell r="F1756">
            <v>513</v>
          </cell>
          <cell r="G1756" t="str">
            <v>O/M</v>
          </cell>
        </row>
        <row r="1757">
          <cell r="C1757" t="str">
            <v>9630140U01</v>
          </cell>
          <cell r="D1757">
            <v>3</v>
          </cell>
          <cell r="E1757">
            <v>0</v>
          </cell>
          <cell r="F1757">
            <v>513</v>
          </cell>
          <cell r="G1757" t="str">
            <v>D/M</v>
          </cell>
        </row>
        <row r="1758">
          <cell r="C1758" t="str">
            <v>963019L047</v>
          </cell>
          <cell r="D1758">
            <v>2</v>
          </cell>
          <cell r="E1758">
            <v>0</v>
          </cell>
          <cell r="F1758">
            <v>513</v>
          </cell>
          <cell r="G1758" t="str">
            <v>D/M</v>
          </cell>
          <cell r="H1758" t="str">
            <v>G160</v>
          </cell>
          <cell r="I1758">
            <v>200</v>
          </cell>
        </row>
        <row r="1759">
          <cell r="C1759" t="str">
            <v>963019L124</v>
          </cell>
          <cell r="D1759">
            <v>2</v>
          </cell>
          <cell r="E1759">
            <v>0</v>
          </cell>
          <cell r="F1759">
            <v>513</v>
          </cell>
          <cell r="G1759" t="str">
            <v>D/M</v>
          </cell>
          <cell r="H1759" t="str">
            <v>G230</v>
          </cell>
          <cell r="I1759">
            <v>50</v>
          </cell>
        </row>
        <row r="1760">
          <cell r="C1760" t="str">
            <v>963019L146</v>
          </cell>
          <cell r="D1760">
            <v>2</v>
          </cell>
          <cell r="E1760">
            <v>0</v>
          </cell>
          <cell r="F1760">
            <v>513</v>
          </cell>
          <cell r="G1760" t="str">
            <v>D/M</v>
          </cell>
          <cell r="H1760" t="str">
            <v>G230</v>
          </cell>
          <cell r="I1760">
            <v>50</v>
          </cell>
        </row>
        <row r="1761">
          <cell r="C1761" t="str">
            <v>963019L147</v>
          </cell>
          <cell r="D1761">
            <v>2</v>
          </cell>
          <cell r="E1761">
            <v>0</v>
          </cell>
          <cell r="F1761">
            <v>513</v>
          </cell>
          <cell r="G1761" t="str">
            <v>D/M</v>
          </cell>
          <cell r="H1761" t="str">
            <v>G230</v>
          </cell>
          <cell r="I1761">
            <v>50</v>
          </cell>
        </row>
        <row r="1762">
          <cell r="C1762" t="str">
            <v>963019L148</v>
          </cell>
          <cell r="D1762">
            <v>2</v>
          </cell>
          <cell r="E1762">
            <v>0</v>
          </cell>
          <cell r="F1762">
            <v>513</v>
          </cell>
          <cell r="G1762" t="str">
            <v>D/M</v>
          </cell>
          <cell r="H1762" t="str">
            <v>G230</v>
          </cell>
          <cell r="I1762">
            <v>50</v>
          </cell>
        </row>
        <row r="1763">
          <cell r="C1763" t="str">
            <v>9630239U01</v>
          </cell>
          <cell r="D1763">
            <v>3</v>
          </cell>
          <cell r="E1763">
            <v>0</v>
          </cell>
          <cell r="F1763">
            <v>513</v>
          </cell>
          <cell r="G1763" t="str">
            <v>O/M</v>
          </cell>
        </row>
        <row r="1764">
          <cell r="C1764" t="str">
            <v>9630240U01</v>
          </cell>
          <cell r="D1764">
            <v>3</v>
          </cell>
          <cell r="E1764">
            <v>0</v>
          </cell>
          <cell r="F1764">
            <v>513</v>
          </cell>
          <cell r="G1764" t="str">
            <v>D/M</v>
          </cell>
        </row>
        <row r="1765">
          <cell r="C1765" t="str">
            <v>963029L047</v>
          </cell>
          <cell r="D1765">
            <v>2</v>
          </cell>
          <cell r="E1765">
            <v>0</v>
          </cell>
          <cell r="F1765">
            <v>513</v>
          </cell>
          <cell r="G1765" t="str">
            <v>D/M</v>
          </cell>
          <cell r="H1765" t="str">
            <v>G160</v>
          </cell>
          <cell r="I1765">
            <v>200</v>
          </cell>
        </row>
        <row r="1766">
          <cell r="C1766" t="str">
            <v>963029L124</v>
          </cell>
          <cell r="D1766">
            <v>2</v>
          </cell>
          <cell r="E1766">
            <v>0</v>
          </cell>
          <cell r="F1766">
            <v>513</v>
          </cell>
          <cell r="G1766" t="str">
            <v>D/M</v>
          </cell>
          <cell r="H1766" t="str">
            <v>G230</v>
          </cell>
          <cell r="I1766">
            <v>50</v>
          </cell>
        </row>
        <row r="1767">
          <cell r="C1767" t="str">
            <v>963029L146</v>
          </cell>
          <cell r="D1767">
            <v>2</v>
          </cell>
          <cell r="E1767">
            <v>0</v>
          </cell>
          <cell r="F1767">
            <v>513</v>
          </cell>
          <cell r="G1767" t="str">
            <v>D/M</v>
          </cell>
          <cell r="H1767" t="str">
            <v>G230</v>
          </cell>
          <cell r="I1767">
            <v>50</v>
          </cell>
        </row>
        <row r="1768">
          <cell r="C1768" t="str">
            <v>963029L147</v>
          </cell>
          <cell r="D1768">
            <v>2</v>
          </cell>
          <cell r="E1768">
            <v>0</v>
          </cell>
          <cell r="F1768">
            <v>513</v>
          </cell>
          <cell r="G1768" t="str">
            <v>D/M</v>
          </cell>
          <cell r="H1768" t="str">
            <v>G230</v>
          </cell>
          <cell r="I1768">
            <v>50</v>
          </cell>
        </row>
        <row r="1769">
          <cell r="C1769" t="str">
            <v>963029L148</v>
          </cell>
          <cell r="D1769">
            <v>2</v>
          </cell>
          <cell r="E1769">
            <v>0</v>
          </cell>
          <cell r="F1769">
            <v>513</v>
          </cell>
          <cell r="G1769" t="str">
            <v>D/M</v>
          </cell>
          <cell r="H1769" t="str">
            <v>G230</v>
          </cell>
          <cell r="I1769">
            <v>50</v>
          </cell>
        </row>
        <row r="1770">
          <cell r="C1770" t="str">
            <v>963213J101</v>
          </cell>
          <cell r="D1770">
            <v>3</v>
          </cell>
          <cell r="E1770">
            <v>0</v>
          </cell>
          <cell r="F1770">
            <v>513</v>
          </cell>
          <cell r="G1770" t="str">
            <v>I/M</v>
          </cell>
        </row>
        <row r="1771">
          <cell r="C1771" t="str">
            <v>963293J101</v>
          </cell>
          <cell r="D1771">
            <v>3</v>
          </cell>
          <cell r="E1771">
            <v>0</v>
          </cell>
          <cell r="F1771">
            <v>513</v>
          </cell>
          <cell r="G1771" t="str">
            <v>COVER</v>
          </cell>
        </row>
        <row r="1772">
          <cell r="C1772" t="str">
            <v>26465VG000</v>
          </cell>
          <cell r="D1772">
            <v>1</v>
          </cell>
          <cell r="E1772">
            <v>0</v>
          </cell>
          <cell r="F1772">
            <v>415</v>
          </cell>
          <cell r="G1772" t="str">
            <v>PER/L</v>
          </cell>
          <cell r="H1772" t="str">
            <v>D160</v>
          </cell>
          <cell r="I1772">
            <v>150</v>
          </cell>
        </row>
        <row r="1773">
          <cell r="C1773" t="str">
            <v>26550VG100</v>
          </cell>
          <cell r="D1773">
            <v>2</v>
          </cell>
          <cell r="E1773">
            <v>0</v>
          </cell>
          <cell r="F1773">
            <v>214</v>
          </cell>
          <cell r="G1773" t="str">
            <v>RC/L</v>
          </cell>
          <cell r="H1773" t="str">
            <v>B000</v>
          </cell>
          <cell r="I1773">
            <v>200</v>
          </cell>
        </row>
        <row r="1774">
          <cell r="C1774" t="str">
            <v>26550VG105</v>
          </cell>
          <cell r="D1774">
            <v>2</v>
          </cell>
          <cell r="E1774">
            <v>0</v>
          </cell>
          <cell r="F1774">
            <v>214</v>
          </cell>
          <cell r="G1774" t="str">
            <v>RC/L</v>
          </cell>
          <cell r="H1774" t="str">
            <v>B000</v>
          </cell>
          <cell r="I1774">
            <v>200</v>
          </cell>
        </row>
        <row r="1775">
          <cell r="C1775" t="str">
            <v>26555VG100</v>
          </cell>
          <cell r="D1775">
            <v>2</v>
          </cell>
          <cell r="E1775">
            <v>0</v>
          </cell>
          <cell r="F1775">
            <v>214</v>
          </cell>
          <cell r="G1775" t="str">
            <v>RC/L</v>
          </cell>
          <cell r="H1775" t="str">
            <v>B000</v>
          </cell>
          <cell r="I1775">
            <v>200</v>
          </cell>
        </row>
        <row r="1776">
          <cell r="C1776" t="str">
            <v>26555VG105</v>
          </cell>
          <cell r="D1776">
            <v>2</v>
          </cell>
          <cell r="E1776">
            <v>0</v>
          </cell>
          <cell r="F1776">
            <v>214</v>
          </cell>
          <cell r="G1776" t="str">
            <v>RC/L</v>
          </cell>
          <cell r="H1776" t="str">
            <v>B000</v>
          </cell>
          <cell r="I1776">
            <v>200</v>
          </cell>
        </row>
        <row r="1777">
          <cell r="C1777" t="str">
            <v>2641001G00</v>
          </cell>
          <cell r="D1777">
            <v>2</v>
          </cell>
          <cell r="E1777">
            <v>0</v>
          </cell>
          <cell r="F1777">
            <v>415</v>
          </cell>
          <cell r="G1777" t="str">
            <v>R/L</v>
          </cell>
          <cell r="H1777" t="str">
            <v>D100</v>
          </cell>
          <cell r="I1777">
            <v>450</v>
          </cell>
        </row>
        <row r="1778">
          <cell r="C1778" t="str">
            <v>2641080W02</v>
          </cell>
          <cell r="D1778">
            <v>2</v>
          </cell>
          <cell r="E1778">
            <v>0</v>
          </cell>
          <cell r="F1778">
            <v>415</v>
          </cell>
          <cell r="G1778" t="str">
            <v>R/L</v>
          </cell>
          <cell r="H1778" t="str">
            <v>D100</v>
          </cell>
          <cell r="I1778">
            <v>1400</v>
          </cell>
        </row>
        <row r="1779">
          <cell r="C1779" t="str">
            <v>26410VJ200</v>
          </cell>
          <cell r="D1779">
            <v>2</v>
          </cell>
          <cell r="E1779">
            <v>0</v>
          </cell>
          <cell r="F1779">
            <v>415</v>
          </cell>
          <cell r="G1779" t="str">
            <v>R/L</v>
          </cell>
          <cell r="H1779" t="str">
            <v>D100</v>
          </cell>
          <cell r="I1779">
            <v>2400</v>
          </cell>
        </row>
        <row r="1780">
          <cell r="C1780" t="str">
            <v>2651023G20</v>
          </cell>
          <cell r="D1780">
            <v>3</v>
          </cell>
          <cell r="E1780">
            <v>0</v>
          </cell>
          <cell r="F1780">
            <v>415</v>
          </cell>
          <cell r="G1780" t="str">
            <v>L/L</v>
          </cell>
          <cell r="H1780">
            <v>0</v>
          </cell>
          <cell r="I1780">
            <v>100</v>
          </cell>
        </row>
        <row r="1781">
          <cell r="C1781" t="str">
            <v>2651523G20</v>
          </cell>
          <cell r="D1781">
            <v>3</v>
          </cell>
          <cell r="E1781">
            <v>0</v>
          </cell>
          <cell r="F1781">
            <v>415</v>
          </cell>
          <cell r="G1781" t="str">
            <v>L/L</v>
          </cell>
          <cell r="H1781">
            <v>0</v>
          </cell>
          <cell r="I1781">
            <v>100</v>
          </cell>
        </row>
        <row r="1782">
          <cell r="C1782" t="str">
            <v>28880VJ200</v>
          </cell>
          <cell r="D1782">
            <v>2</v>
          </cell>
          <cell r="E1782">
            <v>0</v>
          </cell>
          <cell r="F1782">
            <v>714</v>
          </cell>
          <cell r="G1782" t="str">
            <v>W/A</v>
          </cell>
          <cell r="H1782" t="str">
            <v>K000</v>
          </cell>
          <cell r="I1782">
            <v>1500</v>
          </cell>
        </row>
        <row r="1783">
          <cell r="C1783" t="str">
            <v>28880VJ300</v>
          </cell>
          <cell r="D1783">
            <v>2</v>
          </cell>
          <cell r="E1783">
            <v>0</v>
          </cell>
          <cell r="F1783">
            <v>714</v>
          </cell>
          <cell r="G1783" t="str">
            <v>W/A</v>
          </cell>
          <cell r="H1783" t="str">
            <v>K000</v>
          </cell>
          <cell r="I1783">
            <v>0</v>
          </cell>
        </row>
        <row r="1784">
          <cell r="C1784" t="str">
            <v>28880VJ300</v>
          </cell>
          <cell r="D1784">
            <v>2</v>
          </cell>
          <cell r="E1784">
            <v>0</v>
          </cell>
          <cell r="F1784">
            <v>714</v>
          </cell>
          <cell r="G1784" t="str">
            <v>W/A</v>
          </cell>
          <cell r="H1784" t="str">
            <v>K000</v>
          </cell>
          <cell r="I1784">
            <v>1000</v>
          </cell>
        </row>
        <row r="1785">
          <cell r="C1785" t="str">
            <v>28880VJ400</v>
          </cell>
          <cell r="D1785">
            <v>2</v>
          </cell>
          <cell r="E1785">
            <v>0</v>
          </cell>
          <cell r="F1785">
            <v>714</v>
          </cell>
          <cell r="G1785" t="str">
            <v>W/A</v>
          </cell>
          <cell r="H1785" t="str">
            <v>K000</v>
          </cell>
          <cell r="I1785">
            <v>9000</v>
          </cell>
        </row>
        <row r="1786">
          <cell r="C1786" t="str">
            <v>28881VJ200</v>
          </cell>
          <cell r="D1786">
            <v>2</v>
          </cell>
          <cell r="E1786">
            <v>0</v>
          </cell>
          <cell r="F1786">
            <v>714</v>
          </cell>
          <cell r="G1786" t="str">
            <v>W/A</v>
          </cell>
          <cell r="H1786" t="str">
            <v>K009</v>
          </cell>
          <cell r="I1786">
            <v>1500</v>
          </cell>
        </row>
        <row r="1787">
          <cell r="C1787" t="str">
            <v>28881VJ300</v>
          </cell>
          <cell r="D1787">
            <v>2</v>
          </cell>
          <cell r="E1787">
            <v>0</v>
          </cell>
          <cell r="F1787">
            <v>714</v>
          </cell>
          <cell r="G1787" t="str">
            <v>W/A</v>
          </cell>
          <cell r="H1787" t="str">
            <v>K009</v>
          </cell>
          <cell r="I1787">
            <v>1000</v>
          </cell>
        </row>
        <row r="1788">
          <cell r="C1788" t="str">
            <v>28881VJ400</v>
          </cell>
          <cell r="D1788">
            <v>2</v>
          </cell>
          <cell r="E1788">
            <v>0</v>
          </cell>
          <cell r="F1788">
            <v>714</v>
          </cell>
          <cell r="G1788" t="str">
            <v>W/A</v>
          </cell>
          <cell r="H1788" t="str">
            <v>K009</v>
          </cell>
          <cell r="I1788">
            <v>9000</v>
          </cell>
        </row>
        <row r="1789">
          <cell r="C1789" t="str">
            <v>28882VJ200</v>
          </cell>
          <cell r="D1789">
            <v>2</v>
          </cell>
          <cell r="E1789">
            <v>0</v>
          </cell>
          <cell r="F1789">
            <v>714</v>
          </cell>
          <cell r="G1789" t="str">
            <v>C0VER</v>
          </cell>
          <cell r="H1789" t="str">
            <v>K009</v>
          </cell>
          <cell r="I1789">
            <v>11500</v>
          </cell>
        </row>
        <row r="1790">
          <cell r="C1790" t="str">
            <v>28890VB005</v>
          </cell>
          <cell r="D1790">
            <v>3</v>
          </cell>
          <cell r="E1790">
            <v>0</v>
          </cell>
          <cell r="F1790">
            <v>714</v>
          </cell>
          <cell r="G1790" t="str">
            <v>W/B</v>
          </cell>
          <cell r="H1790">
            <v>0</v>
          </cell>
          <cell r="I1790">
            <v>1500</v>
          </cell>
        </row>
        <row r="1791">
          <cell r="C1791" t="str">
            <v>28890VB205</v>
          </cell>
          <cell r="D1791">
            <v>3</v>
          </cell>
          <cell r="E1791">
            <v>0</v>
          </cell>
          <cell r="F1791">
            <v>714</v>
          </cell>
          <cell r="G1791" t="str">
            <v>W/B</v>
          </cell>
          <cell r="H1791" t="str">
            <v>K120</v>
          </cell>
          <cell r="I1791">
            <v>0</v>
          </cell>
        </row>
        <row r="1792">
          <cell r="C1792" t="str">
            <v>28890VB205</v>
          </cell>
          <cell r="D1792">
            <v>3</v>
          </cell>
          <cell r="E1792">
            <v>0</v>
          </cell>
          <cell r="F1792">
            <v>714</v>
          </cell>
          <cell r="G1792" t="str">
            <v>W/B</v>
          </cell>
          <cell r="H1792">
            <v>0</v>
          </cell>
          <cell r="I1792">
            <v>2800</v>
          </cell>
        </row>
        <row r="1793">
          <cell r="C1793" t="str">
            <v>829602S400</v>
          </cell>
          <cell r="D1793">
            <v>3</v>
          </cell>
          <cell r="E1793">
            <v>0</v>
          </cell>
          <cell r="F1793">
            <v>644</v>
          </cell>
          <cell r="G1793" t="str">
            <v>A/T</v>
          </cell>
          <cell r="H1793">
            <v>0</v>
          </cell>
          <cell r="I1793">
            <v>400</v>
          </cell>
        </row>
        <row r="1794">
          <cell r="C1794" t="str">
            <v>963012S910</v>
          </cell>
          <cell r="D1794">
            <v>2</v>
          </cell>
          <cell r="E1794">
            <v>0</v>
          </cell>
          <cell r="F1794">
            <v>513</v>
          </cell>
          <cell r="G1794" t="str">
            <v>D/M</v>
          </cell>
        </row>
        <row r="1795">
          <cell r="C1795" t="str">
            <v>963013S105</v>
          </cell>
          <cell r="D1795">
            <v>3</v>
          </cell>
          <cell r="E1795">
            <v>0</v>
          </cell>
          <cell r="F1795">
            <v>513</v>
          </cell>
          <cell r="G1795" t="str">
            <v>D/M</v>
          </cell>
          <cell r="H1795">
            <v>0</v>
          </cell>
          <cell r="I1795">
            <v>0</v>
          </cell>
        </row>
        <row r="1796">
          <cell r="C1796" t="str">
            <v>963013S405</v>
          </cell>
          <cell r="D1796">
            <v>3</v>
          </cell>
          <cell r="E1796">
            <v>0</v>
          </cell>
          <cell r="F1796">
            <v>513</v>
          </cell>
          <cell r="G1796" t="str">
            <v>D/M</v>
          </cell>
          <cell r="H1796">
            <v>0</v>
          </cell>
          <cell r="I1796">
            <v>0</v>
          </cell>
        </row>
        <row r="1797">
          <cell r="C1797" t="str">
            <v>963022S910</v>
          </cell>
          <cell r="D1797">
            <v>2</v>
          </cell>
          <cell r="E1797">
            <v>0</v>
          </cell>
          <cell r="F1797">
            <v>513</v>
          </cell>
          <cell r="G1797" t="str">
            <v>D/M</v>
          </cell>
        </row>
        <row r="1798">
          <cell r="C1798" t="str">
            <v>963023S105</v>
          </cell>
          <cell r="D1798">
            <v>3</v>
          </cell>
          <cell r="E1798">
            <v>0</v>
          </cell>
          <cell r="F1798">
            <v>513</v>
          </cell>
          <cell r="G1798" t="str">
            <v>D/M</v>
          </cell>
          <cell r="H1798">
            <v>0</v>
          </cell>
          <cell r="I1798">
            <v>0</v>
          </cell>
        </row>
        <row r="1799">
          <cell r="C1799" t="str">
            <v>963023S405</v>
          </cell>
          <cell r="D1799">
            <v>3</v>
          </cell>
          <cell r="E1799">
            <v>0</v>
          </cell>
          <cell r="F1799">
            <v>513</v>
          </cell>
          <cell r="G1799" t="str">
            <v>D/M</v>
          </cell>
          <cell r="H1799">
            <v>0</v>
          </cell>
          <cell r="I1799">
            <v>0</v>
          </cell>
        </row>
        <row r="1800">
          <cell r="C1800" t="str">
            <v>9632122G70</v>
          </cell>
          <cell r="D1800">
            <v>3</v>
          </cell>
          <cell r="E1800">
            <v>0</v>
          </cell>
          <cell r="F1800">
            <v>563</v>
          </cell>
          <cell r="G1800" t="str">
            <v>I/M</v>
          </cell>
          <cell r="H1800">
            <v>0</v>
          </cell>
          <cell r="I1800">
            <v>5000</v>
          </cell>
        </row>
        <row r="1801">
          <cell r="C1801" t="str">
            <v>96330VJ201</v>
          </cell>
          <cell r="D1801">
            <v>2</v>
          </cell>
          <cell r="E1801">
            <v>0</v>
          </cell>
          <cell r="F1801">
            <v>513</v>
          </cell>
          <cell r="G1801" t="str">
            <v>FU/M</v>
          </cell>
          <cell r="H1801" t="str">
            <v>G020</v>
          </cell>
          <cell r="I1801">
            <v>100</v>
          </cell>
        </row>
        <row r="1802">
          <cell r="C1802" t="str">
            <v>9653605N00</v>
          </cell>
          <cell r="D1802">
            <v>3</v>
          </cell>
          <cell r="E1802">
            <v>0</v>
          </cell>
          <cell r="F1802">
            <v>644</v>
          </cell>
          <cell r="G1802" t="str">
            <v>A/T</v>
          </cell>
          <cell r="H1802">
            <v>0</v>
          </cell>
          <cell r="I1802">
            <v>400</v>
          </cell>
        </row>
        <row r="1803">
          <cell r="C1803">
            <v>9642390</v>
          </cell>
          <cell r="D1803">
            <v>1</v>
          </cell>
          <cell r="E1803">
            <v>0</v>
          </cell>
          <cell r="F1803">
            <v>214</v>
          </cell>
          <cell r="G1803">
            <v>0</v>
          </cell>
          <cell r="H1803" t="str">
            <v>B909</v>
          </cell>
          <cell r="I1803">
            <v>5670</v>
          </cell>
        </row>
        <row r="1804">
          <cell r="C1804">
            <v>93572100</v>
          </cell>
          <cell r="D1804">
            <v>1</v>
          </cell>
          <cell r="E1804">
            <v>0</v>
          </cell>
          <cell r="F1804">
            <v>214</v>
          </cell>
          <cell r="G1804" t="str">
            <v>R/F</v>
          </cell>
          <cell r="H1804" t="str">
            <v>B070</v>
          </cell>
          <cell r="I1804">
            <v>0</v>
          </cell>
        </row>
        <row r="1805">
          <cell r="C1805">
            <v>93572102</v>
          </cell>
          <cell r="D1805">
            <v>1</v>
          </cell>
          <cell r="E1805">
            <v>0</v>
          </cell>
          <cell r="F1805">
            <v>214</v>
          </cell>
          <cell r="G1805" t="str">
            <v>HSG.</v>
          </cell>
          <cell r="H1805" t="str">
            <v>B079</v>
          </cell>
          <cell r="I1805">
            <v>0</v>
          </cell>
        </row>
        <row r="1806">
          <cell r="C1806">
            <v>93572103</v>
          </cell>
          <cell r="D1806">
            <v>1</v>
          </cell>
          <cell r="E1806">
            <v>0</v>
          </cell>
          <cell r="F1806">
            <v>214</v>
          </cell>
          <cell r="G1806" t="str">
            <v>LENS</v>
          </cell>
          <cell r="H1806" t="str">
            <v>B073</v>
          </cell>
          <cell r="I1806">
            <v>0</v>
          </cell>
        </row>
        <row r="1807">
          <cell r="C1807">
            <v>93572105</v>
          </cell>
          <cell r="D1807">
            <v>1</v>
          </cell>
          <cell r="E1807">
            <v>0</v>
          </cell>
          <cell r="F1807">
            <v>214</v>
          </cell>
          <cell r="G1807" t="str">
            <v>B/L</v>
          </cell>
          <cell r="H1807" t="str">
            <v>B079</v>
          </cell>
          <cell r="I1807">
            <v>0</v>
          </cell>
        </row>
        <row r="1808">
          <cell r="C1808">
            <v>93572106</v>
          </cell>
          <cell r="D1808">
            <v>1</v>
          </cell>
          <cell r="E1808">
            <v>0</v>
          </cell>
          <cell r="F1808">
            <v>214</v>
          </cell>
          <cell r="G1808" t="str">
            <v>B/L</v>
          </cell>
          <cell r="H1808" t="str">
            <v>B079</v>
          </cell>
          <cell r="I1808">
            <v>0</v>
          </cell>
        </row>
        <row r="1809">
          <cell r="C1809">
            <v>93572109</v>
          </cell>
          <cell r="D1809">
            <v>1</v>
          </cell>
          <cell r="E1809">
            <v>0</v>
          </cell>
          <cell r="F1809">
            <v>214</v>
          </cell>
          <cell r="G1809" t="str">
            <v>PACKIN</v>
          </cell>
          <cell r="H1809" t="str">
            <v>B079</v>
          </cell>
          <cell r="I1809">
            <v>5670</v>
          </cell>
        </row>
        <row r="1810">
          <cell r="C1810">
            <v>93572110</v>
          </cell>
          <cell r="D1810">
            <v>1</v>
          </cell>
          <cell r="E1810">
            <v>0</v>
          </cell>
          <cell r="F1810">
            <v>214</v>
          </cell>
          <cell r="G1810" t="str">
            <v>PACKIN</v>
          </cell>
          <cell r="H1810" t="str">
            <v>B079</v>
          </cell>
          <cell r="I1810">
            <v>5670</v>
          </cell>
        </row>
        <row r="1811">
          <cell r="C1811">
            <v>93572150</v>
          </cell>
          <cell r="D1811">
            <v>1</v>
          </cell>
          <cell r="E1811">
            <v>0</v>
          </cell>
          <cell r="F1811">
            <v>214</v>
          </cell>
          <cell r="G1811" t="str">
            <v>R/F</v>
          </cell>
          <cell r="H1811" t="str">
            <v>B070</v>
          </cell>
          <cell r="I1811">
            <v>0</v>
          </cell>
        </row>
        <row r="1812">
          <cell r="C1812" t="str">
            <v>66L794M</v>
          </cell>
          <cell r="D1812">
            <v>1</v>
          </cell>
          <cell r="E1812">
            <v>0</v>
          </cell>
          <cell r="F1812">
            <v>214</v>
          </cell>
          <cell r="G1812" t="str">
            <v>T00L</v>
          </cell>
          <cell r="H1812" t="str">
            <v>B000</v>
          </cell>
          <cell r="I1812">
            <v>0</v>
          </cell>
        </row>
        <row r="1813">
          <cell r="C1813" t="str">
            <v>84201AE000</v>
          </cell>
          <cell r="D1813">
            <v>1</v>
          </cell>
          <cell r="E1813">
            <v>0</v>
          </cell>
          <cell r="F1813">
            <v>214</v>
          </cell>
          <cell r="G1813" t="str">
            <v>RC/L</v>
          </cell>
          <cell r="H1813" t="str">
            <v>B000</v>
          </cell>
          <cell r="I1813">
            <v>6370</v>
          </cell>
        </row>
        <row r="1814">
          <cell r="C1814" t="str">
            <v>84201AE000</v>
          </cell>
          <cell r="D1814">
            <v>1</v>
          </cell>
          <cell r="E1814">
            <v>0</v>
          </cell>
          <cell r="F1814">
            <v>214</v>
          </cell>
          <cell r="G1814" t="str">
            <v>RC/L</v>
          </cell>
          <cell r="H1814" t="str">
            <v>B000</v>
          </cell>
          <cell r="I1814">
            <v>0</v>
          </cell>
        </row>
        <row r="1815">
          <cell r="C1815" t="str">
            <v>84201AE010</v>
          </cell>
          <cell r="D1815">
            <v>1</v>
          </cell>
          <cell r="E1815">
            <v>0</v>
          </cell>
          <cell r="F1815">
            <v>214</v>
          </cell>
          <cell r="G1815" t="str">
            <v>RC/L</v>
          </cell>
          <cell r="H1815" t="str">
            <v>B000</v>
          </cell>
          <cell r="I1815">
            <v>6370</v>
          </cell>
        </row>
        <row r="1816">
          <cell r="C1816" t="str">
            <v>84201AE010</v>
          </cell>
          <cell r="D1816">
            <v>1</v>
          </cell>
          <cell r="E1816">
            <v>0</v>
          </cell>
          <cell r="F1816">
            <v>214</v>
          </cell>
          <cell r="G1816" t="str">
            <v>RC/L</v>
          </cell>
          <cell r="H1816" t="str">
            <v>B000</v>
          </cell>
          <cell r="I1816">
            <v>0</v>
          </cell>
        </row>
        <row r="1817">
          <cell r="C1817" t="str">
            <v>84201AE020</v>
          </cell>
          <cell r="D1817">
            <v>1</v>
          </cell>
          <cell r="E1817">
            <v>0</v>
          </cell>
          <cell r="F1817">
            <v>214</v>
          </cell>
          <cell r="G1817" t="str">
            <v>RC/L</v>
          </cell>
          <cell r="H1817" t="str">
            <v>B000</v>
          </cell>
          <cell r="I1817">
            <v>1600</v>
          </cell>
        </row>
        <row r="1818">
          <cell r="C1818" t="str">
            <v>84201AE020</v>
          </cell>
          <cell r="D1818">
            <v>1</v>
          </cell>
          <cell r="E1818">
            <v>0</v>
          </cell>
          <cell r="F1818">
            <v>214</v>
          </cell>
          <cell r="G1818" t="str">
            <v>RC/L</v>
          </cell>
          <cell r="H1818" t="str">
            <v>B000</v>
          </cell>
          <cell r="I1818">
            <v>0</v>
          </cell>
        </row>
        <row r="1819">
          <cell r="C1819" t="str">
            <v>84201AE030</v>
          </cell>
          <cell r="D1819">
            <v>1</v>
          </cell>
          <cell r="E1819">
            <v>0</v>
          </cell>
          <cell r="F1819">
            <v>214</v>
          </cell>
          <cell r="G1819" t="str">
            <v>RC/L</v>
          </cell>
          <cell r="H1819" t="str">
            <v>B000</v>
          </cell>
          <cell r="I1819">
            <v>1600</v>
          </cell>
        </row>
        <row r="1820">
          <cell r="C1820" t="str">
            <v>84201AE030</v>
          </cell>
          <cell r="D1820">
            <v>1</v>
          </cell>
          <cell r="E1820">
            <v>0</v>
          </cell>
          <cell r="F1820">
            <v>214</v>
          </cell>
          <cell r="G1820" t="str">
            <v>RC/L</v>
          </cell>
          <cell r="H1820" t="str">
            <v>B000</v>
          </cell>
          <cell r="I1820">
            <v>0</v>
          </cell>
        </row>
        <row r="1821">
          <cell r="C1821" t="str">
            <v>84201AE080</v>
          </cell>
          <cell r="D1821">
            <v>1</v>
          </cell>
          <cell r="E1821">
            <v>0</v>
          </cell>
          <cell r="F1821">
            <v>214</v>
          </cell>
          <cell r="G1821" t="str">
            <v>RC/L</v>
          </cell>
          <cell r="H1821" t="str">
            <v>B000</v>
          </cell>
          <cell r="I1821">
            <v>1130</v>
          </cell>
        </row>
        <row r="1822">
          <cell r="C1822" t="str">
            <v>84201AE080</v>
          </cell>
          <cell r="D1822">
            <v>1</v>
          </cell>
          <cell r="E1822">
            <v>0</v>
          </cell>
          <cell r="F1822">
            <v>214</v>
          </cell>
          <cell r="G1822" t="str">
            <v>RC/L</v>
          </cell>
          <cell r="H1822" t="str">
            <v>B000</v>
          </cell>
          <cell r="I1822">
            <v>0</v>
          </cell>
        </row>
        <row r="1823">
          <cell r="C1823" t="str">
            <v>84201AE090</v>
          </cell>
          <cell r="D1823">
            <v>1</v>
          </cell>
          <cell r="E1823">
            <v>0</v>
          </cell>
          <cell r="F1823">
            <v>214</v>
          </cell>
          <cell r="G1823" t="str">
            <v>RC/L</v>
          </cell>
          <cell r="H1823" t="str">
            <v>B000</v>
          </cell>
          <cell r="I1823">
            <v>1130</v>
          </cell>
        </row>
        <row r="1824">
          <cell r="C1824" t="str">
            <v>84201AE090</v>
          </cell>
          <cell r="D1824">
            <v>1</v>
          </cell>
          <cell r="E1824">
            <v>0</v>
          </cell>
          <cell r="F1824">
            <v>214</v>
          </cell>
          <cell r="G1824" t="str">
            <v>RC/L</v>
          </cell>
          <cell r="H1824" t="str">
            <v>B000</v>
          </cell>
          <cell r="I1824">
            <v>0</v>
          </cell>
        </row>
        <row r="1825">
          <cell r="C1825" t="str">
            <v>84201AE140</v>
          </cell>
          <cell r="D1825">
            <v>1</v>
          </cell>
          <cell r="E1825">
            <v>0</v>
          </cell>
          <cell r="F1825">
            <v>214</v>
          </cell>
          <cell r="G1825" t="str">
            <v>RC/L</v>
          </cell>
          <cell r="H1825" t="str">
            <v>B000</v>
          </cell>
          <cell r="I1825">
            <v>440</v>
          </cell>
        </row>
        <row r="1826">
          <cell r="C1826" t="str">
            <v>84201AE140</v>
          </cell>
          <cell r="D1826">
            <v>1</v>
          </cell>
          <cell r="E1826">
            <v>0</v>
          </cell>
          <cell r="F1826">
            <v>214</v>
          </cell>
          <cell r="G1826" t="str">
            <v>RC/L</v>
          </cell>
          <cell r="H1826" t="str">
            <v>B000</v>
          </cell>
          <cell r="I1826">
            <v>0</v>
          </cell>
        </row>
        <row r="1827">
          <cell r="C1827" t="str">
            <v>84201AE150</v>
          </cell>
          <cell r="D1827">
            <v>1</v>
          </cell>
          <cell r="E1827">
            <v>0</v>
          </cell>
          <cell r="F1827">
            <v>214</v>
          </cell>
          <cell r="G1827" t="str">
            <v>RC/L</v>
          </cell>
          <cell r="H1827" t="str">
            <v>B000</v>
          </cell>
          <cell r="I1827">
            <v>440</v>
          </cell>
        </row>
        <row r="1828">
          <cell r="C1828" t="str">
            <v>84201AE150</v>
          </cell>
          <cell r="D1828">
            <v>1</v>
          </cell>
          <cell r="E1828">
            <v>0</v>
          </cell>
          <cell r="F1828">
            <v>214</v>
          </cell>
          <cell r="G1828" t="str">
            <v>RC/L</v>
          </cell>
          <cell r="H1828" t="str">
            <v>B000</v>
          </cell>
          <cell r="I1828">
            <v>0</v>
          </cell>
        </row>
        <row r="1829">
          <cell r="C1829" t="str">
            <v>84201AE180</v>
          </cell>
          <cell r="D1829">
            <v>1</v>
          </cell>
          <cell r="E1829">
            <v>0</v>
          </cell>
          <cell r="F1829">
            <v>214</v>
          </cell>
          <cell r="G1829" t="str">
            <v>RC/L</v>
          </cell>
          <cell r="H1829" t="str">
            <v>B000</v>
          </cell>
          <cell r="I1829">
            <v>0</v>
          </cell>
        </row>
        <row r="1830">
          <cell r="C1830" t="str">
            <v>84201AE180</v>
          </cell>
          <cell r="D1830">
            <v>1</v>
          </cell>
          <cell r="E1830">
            <v>0</v>
          </cell>
          <cell r="F1830">
            <v>214</v>
          </cell>
          <cell r="G1830" t="str">
            <v>RC/L</v>
          </cell>
          <cell r="H1830" t="str">
            <v>B000</v>
          </cell>
          <cell r="I1830">
            <v>0</v>
          </cell>
        </row>
        <row r="1831">
          <cell r="C1831" t="str">
            <v>84201AE190</v>
          </cell>
          <cell r="D1831">
            <v>1</v>
          </cell>
          <cell r="E1831">
            <v>0</v>
          </cell>
          <cell r="F1831">
            <v>214</v>
          </cell>
          <cell r="G1831" t="str">
            <v>RC/L</v>
          </cell>
          <cell r="H1831" t="str">
            <v>B000</v>
          </cell>
          <cell r="I1831">
            <v>0</v>
          </cell>
        </row>
        <row r="1832">
          <cell r="C1832" t="str">
            <v>84201AE190</v>
          </cell>
          <cell r="D1832">
            <v>1</v>
          </cell>
          <cell r="E1832">
            <v>0</v>
          </cell>
          <cell r="F1832">
            <v>214</v>
          </cell>
          <cell r="G1832" t="str">
            <v>RC/L</v>
          </cell>
          <cell r="H1832" t="str">
            <v>B000</v>
          </cell>
          <cell r="I1832">
            <v>0</v>
          </cell>
        </row>
        <row r="1833">
          <cell r="C1833" t="str">
            <v>84251AE000</v>
          </cell>
          <cell r="D1833">
            <v>1</v>
          </cell>
          <cell r="E1833">
            <v>0</v>
          </cell>
          <cell r="F1833">
            <v>414</v>
          </cell>
          <cell r="G1833" t="str">
            <v>R-F1N/</v>
          </cell>
          <cell r="H1833" t="str">
            <v>B040</v>
          </cell>
          <cell r="I1833">
            <v>6370</v>
          </cell>
        </row>
        <row r="1834">
          <cell r="C1834" t="str">
            <v>84251AE000</v>
          </cell>
          <cell r="D1834">
            <v>1</v>
          </cell>
          <cell r="E1834">
            <v>0</v>
          </cell>
          <cell r="F1834">
            <v>414</v>
          </cell>
          <cell r="G1834" t="str">
            <v>R-F1N/</v>
          </cell>
          <cell r="H1834" t="str">
            <v>B040</v>
          </cell>
          <cell r="I1834">
            <v>0</v>
          </cell>
        </row>
        <row r="1835">
          <cell r="C1835" t="str">
            <v>84251AE010</v>
          </cell>
          <cell r="D1835">
            <v>1</v>
          </cell>
          <cell r="E1835">
            <v>0</v>
          </cell>
          <cell r="F1835">
            <v>414</v>
          </cell>
          <cell r="G1835" t="str">
            <v>R-F1N/</v>
          </cell>
          <cell r="H1835" t="str">
            <v>B040</v>
          </cell>
          <cell r="I1835">
            <v>580</v>
          </cell>
        </row>
        <row r="1836">
          <cell r="C1836" t="str">
            <v>84251AE010</v>
          </cell>
          <cell r="D1836">
            <v>1</v>
          </cell>
          <cell r="E1836">
            <v>0</v>
          </cell>
          <cell r="F1836">
            <v>414</v>
          </cell>
          <cell r="G1836" t="str">
            <v>R-F1N/</v>
          </cell>
          <cell r="H1836" t="str">
            <v>B040</v>
          </cell>
          <cell r="I1836">
            <v>0</v>
          </cell>
        </row>
        <row r="1837">
          <cell r="C1837" t="str">
            <v>84251AE020</v>
          </cell>
          <cell r="D1837">
            <v>1</v>
          </cell>
          <cell r="E1837">
            <v>0</v>
          </cell>
          <cell r="F1837">
            <v>414</v>
          </cell>
          <cell r="G1837" t="str">
            <v>R-F1N/</v>
          </cell>
          <cell r="H1837" t="str">
            <v>B040</v>
          </cell>
          <cell r="I1837">
            <v>1020</v>
          </cell>
        </row>
        <row r="1838">
          <cell r="C1838" t="str">
            <v>84251AE020</v>
          </cell>
          <cell r="D1838">
            <v>1</v>
          </cell>
          <cell r="E1838">
            <v>0</v>
          </cell>
          <cell r="F1838">
            <v>414</v>
          </cell>
          <cell r="G1838" t="str">
            <v>R-F1N/</v>
          </cell>
          <cell r="H1838" t="str">
            <v>B040</v>
          </cell>
          <cell r="I1838">
            <v>0</v>
          </cell>
        </row>
        <row r="1839">
          <cell r="C1839" t="str">
            <v>84251AE060</v>
          </cell>
          <cell r="D1839">
            <v>1</v>
          </cell>
          <cell r="E1839">
            <v>0</v>
          </cell>
          <cell r="F1839">
            <v>414</v>
          </cell>
          <cell r="G1839" t="str">
            <v>R-F1N/</v>
          </cell>
          <cell r="H1839" t="str">
            <v>B040</v>
          </cell>
          <cell r="I1839">
            <v>1130</v>
          </cell>
        </row>
        <row r="1840">
          <cell r="C1840" t="str">
            <v>84251AE060</v>
          </cell>
          <cell r="D1840">
            <v>1</v>
          </cell>
          <cell r="E1840">
            <v>0</v>
          </cell>
          <cell r="F1840">
            <v>414</v>
          </cell>
          <cell r="G1840" t="str">
            <v>R-F1N/</v>
          </cell>
          <cell r="H1840" t="str">
            <v>B040</v>
          </cell>
          <cell r="I1840">
            <v>0</v>
          </cell>
        </row>
        <row r="1841">
          <cell r="C1841" t="str">
            <v>84251AE070</v>
          </cell>
          <cell r="D1841">
            <v>1</v>
          </cell>
          <cell r="E1841">
            <v>0</v>
          </cell>
          <cell r="F1841">
            <v>414</v>
          </cell>
          <cell r="G1841" t="str">
            <v>R-F1N/</v>
          </cell>
          <cell r="H1841" t="str">
            <v>B040</v>
          </cell>
          <cell r="I1841">
            <v>200</v>
          </cell>
        </row>
        <row r="1842">
          <cell r="C1842" t="str">
            <v>84251AE070</v>
          </cell>
          <cell r="D1842">
            <v>1</v>
          </cell>
          <cell r="E1842">
            <v>0</v>
          </cell>
          <cell r="F1842">
            <v>414</v>
          </cell>
          <cell r="G1842" t="str">
            <v>R-F1N/</v>
          </cell>
          <cell r="H1842" t="str">
            <v>B040</v>
          </cell>
          <cell r="I1842">
            <v>0</v>
          </cell>
        </row>
        <row r="1843">
          <cell r="C1843" t="str">
            <v>84251AE080</v>
          </cell>
          <cell r="D1843">
            <v>1</v>
          </cell>
          <cell r="E1843">
            <v>0</v>
          </cell>
          <cell r="F1843">
            <v>414</v>
          </cell>
          <cell r="G1843" t="str">
            <v>R-F1N/</v>
          </cell>
          <cell r="H1843" t="str">
            <v>B040</v>
          </cell>
          <cell r="I1843">
            <v>240</v>
          </cell>
        </row>
        <row r="1844">
          <cell r="C1844" t="str">
            <v>84251AE080</v>
          </cell>
          <cell r="D1844">
            <v>1</v>
          </cell>
          <cell r="E1844">
            <v>0</v>
          </cell>
          <cell r="F1844">
            <v>414</v>
          </cell>
          <cell r="G1844" t="str">
            <v>R-F1N/</v>
          </cell>
          <cell r="H1844" t="str">
            <v>B040</v>
          </cell>
          <cell r="I1844">
            <v>0</v>
          </cell>
        </row>
        <row r="1845">
          <cell r="C1845" t="str">
            <v>84251AE09A</v>
          </cell>
          <cell r="D1845">
            <v>1</v>
          </cell>
          <cell r="E1845">
            <v>0</v>
          </cell>
          <cell r="F1845">
            <v>414</v>
          </cell>
          <cell r="G1845" t="str">
            <v>R-F1N/</v>
          </cell>
          <cell r="H1845" t="str">
            <v>B040</v>
          </cell>
          <cell r="I1845">
            <v>0</v>
          </cell>
        </row>
        <row r="1846">
          <cell r="C1846" t="str">
            <v>84251AE11A</v>
          </cell>
          <cell r="D1846">
            <v>1</v>
          </cell>
          <cell r="E1846">
            <v>0</v>
          </cell>
          <cell r="F1846">
            <v>414</v>
          </cell>
          <cell r="G1846" t="str">
            <v>R-F1N/</v>
          </cell>
          <cell r="H1846" t="str">
            <v>B040</v>
          </cell>
          <cell r="I1846">
            <v>0</v>
          </cell>
        </row>
        <row r="1847">
          <cell r="C1847" t="str">
            <v>84281AE000</v>
          </cell>
          <cell r="D1847">
            <v>1</v>
          </cell>
          <cell r="E1847">
            <v>0</v>
          </cell>
          <cell r="F1847">
            <v>415</v>
          </cell>
          <cell r="G1847" t="str">
            <v>R/R</v>
          </cell>
          <cell r="H1847" t="str">
            <v>C009</v>
          </cell>
          <cell r="I1847">
            <v>1570</v>
          </cell>
        </row>
        <row r="1848">
          <cell r="C1848" t="str">
            <v>84281AE000</v>
          </cell>
          <cell r="D1848">
            <v>1</v>
          </cell>
          <cell r="E1848">
            <v>0</v>
          </cell>
          <cell r="F1848">
            <v>415</v>
          </cell>
          <cell r="G1848" t="str">
            <v>R/R</v>
          </cell>
          <cell r="H1848" t="str">
            <v>C009</v>
          </cell>
          <cell r="I1848">
            <v>0</v>
          </cell>
        </row>
        <row r="1849">
          <cell r="C1849" t="str">
            <v>84281AE010</v>
          </cell>
          <cell r="D1849">
            <v>1</v>
          </cell>
          <cell r="E1849">
            <v>0</v>
          </cell>
          <cell r="F1849">
            <v>415</v>
          </cell>
          <cell r="G1849" t="str">
            <v>R/R</v>
          </cell>
          <cell r="H1849" t="str">
            <v>C009</v>
          </cell>
          <cell r="I1849">
            <v>1570</v>
          </cell>
        </row>
        <row r="1850">
          <cell r="C1850" t="str">
            <v>84281AE010</v>
          </cell>
          <cell r="D1850">
            <v>1</v>
          </cell>
          <cell r="E1850">
            <v>0</v>
          </cell>
          <cell r="F1850">
            <v>415</v>
          </cell>
          <cell r="G1850" t="str">
            <v>R/R</v>
          </cell>
          <cell r="H1850" t="str">
            <v>C009</v>
          </cell>
          <cell r="I1850">
            <v>0</v>
          </cell>
        </row>
        <row r="1851">
          <cell r="C1851" t="str">
            <v>84912AE120</v>
          </cell>
          <cell r="D1851">
            <v>1</v>
          </cell>
          <cell r="E1851">
            <v>0</v>
          </cell>
          <cell r="F1851">
            <v>214</v>
          </cell>
          <cell r="G1851" t="str">
            <v>LENS&amp;B</v>
          </cell>
          <cell r="H1851" t="str">
            <v>B003</v>
          </cell>
          <cell r="I1851">
            <v>0</v>
          </cell>
        </row>
        <row r="1852">
          <cell r="C1852" t="str">
            <v>84912AE130</v>
          </cell>
          <cell r="D1852">
            <v>1</v>
          </cell>
          <cell r="E1852">
            <v>0</v>
          </cell>
          <cell r="F1852">
            <v>214</v>
          </cell>
          <cell r="G1852" t="str">
            <v>LENS&amp;B</v>
          </cell>
          <cell r="H1852" t="str">
            <v>B003</v>
          </cell>
          <cell r="I1852">
            <v>0</v>
          </cell>
        </row>
        <row r="1853">
          <cell r="C1853" t="str">
            <v>84912AE140</v>
          </cell>
          <cell r="D1853">
            <v>1</v>
          </cell>
          <cell r="E1853">
            <v>0</v>
          </cell>
          <cell r="F1853">
            <v>214</v>
          </cell>
          <cell r="G1853" t="str">
            <v>LENS&amp;B</v>
          </cell>
          <cell r="H1853" t="str">
            <v>B003</v>
          </cell>
          <cell r="I1853">
            <v>0</v>
          </cell>
        </row>
        <row r="1854">
          <cell r="C1854" t="str">
            <v>84912AE150</v>
          </cell>
          <cell r="D1854">
            <v>1</v>
          </cell>
          <cell r="E1854">
            <v>0</v>
          </cell>
          <cell r="F1854">
            <v>214</v>
          </cell>
          <cell r="G1854" t="str">
            <v>LENS&amp;B</v>
          </cell>
          <cell r="H1854" t="str">
            <v>B003</v>
          </cell>
          <cell r="I1854">
            <v>0</v>
          </cell>
        </row>
        <row r="1855">
          <cell r="C1855" t="str">
            <v>84912AE160</v>
          </cell>
          <cell r="D1855">
            <v>1</v>
          </cell>
          <cell r="E1855">
            <v>0</v>
          </cell>
          <cell r="F1855">
            <v>414</v>
          </cell>
          <cell r="G1855" t="str">
            <v>LENS&amp;B</v>
          </cell>
          <cell r="H1855" t="str">
            <v>B041</v>
          </cell>
          <cell r="I1855">
            <v>0</v>
          </cell>
        </row>
        <row r="1856">
          <cell r="C1856" t="str">
            <v>84912AE170</v>
          </cell>
          <cell r="D1856">
            <v>1</v>
          </cell>
          <cell r="E1856">
            <v>0</v>
          </cell>
          <cell r="F1856">
            <v>414</v>
          </cell>
          <cell r="G1856" t="str">
            <v>LENS&amp;B</v>
          </cell>
          <cell r="H1856" t="str">
            <v>B041</v>
          </cell>
          <cell r="I1856">
            <v>0</v>
          </cell>
        </row>
        <row r="1857">
          <cell r="C1857" t="str">
            <v>84912AE180</v>
          </cell>
          <cell r="D1857">
            <v>1</v>
          </cell>
          <cell r="E1857">
            <v>0</v>
          </cell>
          <cell r="F1857">
            <v>414</v>
          </cell>
          <cell r="G1857" t="str">
            <v>LENS&amp;B</v>
          </cell>
          <cell r="H1857" t="str">
            <v>B041</v>
          </cell>
          <cell r="I1857">
            <v>0</v>
          </cell>
        </row>
        <row r="1858">
          <cell r="C1858" t="str">
            <v>84912AE350</v>
          </cell>
          <cell r="D1858">
            <v>1</v>
          </cell>
          <cell r="E1858">
            <v>0</v>
          </cell>
          <cell r="F1858">
            <v>214</v>
          </cell>
          <cell r="G1858" t="str">
            <v>LENS&amp;B</v>
          </cell>
          <cell r="H1858" t="str">
            <v>B003</v>
          </cell>
          <cell r="I1858">
            <v>0</v>
          </cell>
        </row>
        <row r="1859">
          <cell r="C1859" t="str">
            <v>84912AE360</v>
          </cell>
          <cell r="D1859">
            <v>1</v>
          </cell>
          <cell r="E1859">
            <v>0</v>
          </cell>
          <cell r="F1859">
            <v>214</v>
          </cell>
          <cell r="G1859" t="str">
            <v>LENS&amp;B</v>
          </cell>
          <cell r="H1859" t="str">
            <v>B003</v>
          </cell>
          <cell r="I1859">
            <v>0</v>
          </cell>
        </row>
        <row r="1860">
          <cell r="C1860" t="str">
            <v>84912AE370</v>
          </cell>
          <cell r="D1860">
            <v>1</v>
          </cell>
          <cell r="E1860">
            <v>0</v>
          </cell>
          <cell r="F1860">
            <v>214</v>
          </cell>
          <cell r="G1860" t="str">
            <v>LENS&amp;B</v>
          </cell>
          <cell r="H1860" t="str">
            <v>B003</v>
          </cell>
          <cell r="I1860">
            <v>0</v>
          </cell>
        </row>
        <row r="1861">
          <cell r="C1861" t="str">
            <v>84912AE380</v>
          </cell>
          <cell r="D1861">
            <v>1</v>
          </cell>
          <cell r="E1861">
            <v>0</v>
          </cell>
          <cell r="F1861">
            <v>214</v>
          </cell>
          <cell r="G1861" t="str">
            <v>LENS&amp;B</v>
          </cell>
          <cell r="H1861" t="str">
            <v>B003</v>
          </cell>
          <cell r="I1861">
            <v>0</v>
          </cell>
        </row>
        <row r="1862">
          <cell r="C1862" t="str">
            <v>84912AE390</v>
          </cell>
          <cell r="D1862">
            <v>1</v>
          </cell>
          <cell r="E1862">
            <v>0</v>
          </cell>
          <cell r="F1862">
            <v>414</v>
          </cell>
          <cell r="G1862" t="str">
            <v>LENS&amp;B</v>
          </cell>
          <cell r="H1862" t="str">
            <v>B041</v>
          </cell>
          <cell r="I1862">
            <v>0</v>
          </cell>
        </row>
        <row r="1863">
          <cell r="C1863" t="str">
            <v>84912AE400</v>
          </cell>
          <cell r="D1863">
            <v>1</v>
          </cell>
          <cell r="E1863">
            <v>0</v>
          </cell>
          <cell r="F1863">
            <v>414</v>
          </cell>
          <cell r="G1863" t="str">
            <v>LENS&amp;B</v>
          </cell>
          <cell r="H1863" t="str">
            <v>B041</v>
          </cell>
          <cell r="I1863">
            <v>0</v>
          </cell>
        </row>
        <row r="1864">
          <cell r="C1864" t="str">
            <v>84912AE410</v>
          </cell>
          <cell r="D1864">
            <v>1</v>
          </cell>
          <cell r="E1864">
            <v>0</v>
          </cell>
          <cell r="F1864">
            <v>414</v>
          </cell>
          <cell r="G1864" t="str">
            <v>LENS&amp;B</v>
          </cell>
          <cell r="H1864" t="str">
            <v>B041</v>
          </cell>
          <cell r="I1864">
            <v>0</v>
          </cell>
        </row>
        <row r="1865">
          <cell r="C1865" t="str">
            <v>84931AE000</v>
          </cell>
          <cell r="D1865">
            <v>1</v>
          </cell>
          <cell r="E1865">
            <v>0</v>
          </cell>
          <cell r="F1865">
            <v>214</v>
          </cell>
          <cell r="G1865" t="str">
            <v>HARNES</v>
          </cell>
          <cell r="H1865" t="str">
            <v>B004</v>
          </cell>
          <cell r="I1865">
            <v>0</v>
          </cell>
        </row>
        <row r="1866">
          <cell r="C1866" t="str">
            <v>84931AE020</v>
          </cell>
          <cell r="D1866">
            <v>1</v>
          </cell>
          <cell r="E1866">
            <v>0</v>
          </cell>
          <cell r="F1866">
            <v>414</v>
          </cell>
          <cell r="G1866" t="str">
            <v>HARNES</v>
          </cell>
          <cell r="H1866" t="str">
            <v>B049</v>
          </cell>
          <cell r="I1866">
            <v>0</v>
          </cell>
        </row>
        <row r="1867">
          <cell r="C1867" t="str">
            <v>84931AE030</v>
          </cell>
          <cell r="D1867">
            <v>1</v>
          </cell>
          <cell r="E1867">
            <v>0</v>
          </cell>
          <cell r="F1867">
            <v>414</v>
          </cell>
          <cell r="G1867" t="str">
            <v>HARNES</v>
          </cell>
          <cell r="H1867" t="str">
            <v>B049</v>
          </cell>
          <cell r="I1867">
            <v>0</v>
          </cell>
        </row>
        <row r="1868">
          <cell r="C1868" t="str">
            <v>84931AE040</v>
          </cell>
          <cell r="D1868">
            <v>1</v>
          </cell>
          <cell r="E1868">
            <v>0</v>
          </cell>
          <cell r="F1868">
            <v>414</v>
          </cell>
          <cell r="G1868" t="str">
            <v>HARNES</v>
          </cell>
          <cell r="H1868" t="str">
            <v>B049</v>
          </cell>
          <cell r="I1868">
            <v>0</v>
          </cell>
        </row>
        <row r="1869">
          <cell r="C1869" t="str">
            <v>84940AC020</v>
          </cell>
          <cell r="D1869">
            <v>1</v>
          </cell>
          <cell r="E1869">
            <v>0</v>
          </cell>
          <cell r="F1869">
            <v>214</v>
          </cell>
          <cell r="G1869" t="str">
            <v>PACK1N</v>
          </cell>
          <cell r="H1869" t="str">
            <v>B009</v>
          </cell>
          <cell r="I1869">
            <v>0</v>
          </cell>
        </row>
        <row r="1870">
          <cell r="C1870" t="str">
            <v>84940AE000</v>
          </cell>
          <cell r="D1870">
            <v>1</v>
          </cell>
          <cell r="E1870">
            <v>0</v>
          </cell>
          <cell r="F1870">
            <v>414</v>
          </cell>
          <cell r="G1870" t="str">
            <v>PACK1N</v>
          </cell>
          <cell r="H1870" t="str">
            <v>B049</v>
          </cell>
          <cell r="I1870">
            <v>0</v>
          </cell>
        </row>
        <row r="1871">
          <cell r="C1871" t="str">
            <v>84940AE030</v>
          </cell>
          <cell r="D1871">
            <v>1</v>
          </cell>
          <cell r="E1871">
            <v>0</v>
          </cell>
          <cell r="F1871">
            <v>214</v>
          </cell>
          <cell r="G1871">
            <v>0</v>
          </cell>
          <cell r="H1871" t="str">
            <v>B009</v>
          </cell>
          <cell r="I1871">
            <v>0</v>
          </cell>
        </row>
        <row r="1872">
          <cell r="C1872" t="str">
            <v>84940AE040</v>
          </cell>
          <cell r="D1872">
            <v>1</v>
          </cell>
          <cell r="E1872">
            <v>0</v>
          </cell>
          <cell r="F1872">
            <v>214</v>
          </cell>
          <cell r="G1872" t="str">
            <v>C0VER</v>
          </cell>
          <cell r="H1872" t="str">
            <v>B009</v>
          </cell>
          <cell r="I1872">
            <v>0</v>
          </cell>
        </row>
        <row r="1873">
          <cell r="C1873" t="str">
            <v>84940AE080</v>
          </cell>
          <cell r="D1873">
            <v>1</v>
          </cell>
          <cell r="E1873">
            <v>0</v>
          </cell>
          <cell r="F1873">
            <v>414</v>
          </cell>
          <cell r="G1873" t="str">
            <v>PACK1N</v>
          </cell>
          <cell r="H1873" t="str">
            <v>B049</v>
          </cell>
          <cell r="I1873">
            <v>0</v>
          </cell>
        </row>
        <row r="1874">
          <cell r="C1874" t="str">
            <v>84940AE110</v>
          </cell>
          <cell r="D1874">
            <v>1</v>
          </cell>
          <cell r="E1874">
            <v>0</v>
          </cell>
          <cell r="F1874">
            <v>414</v>
          </cell>
          <cell r="G1874" t="str">
            <v>PACK1N</v>
          </cell>
          <cell r="H1874" t="str">
            <v>B049</v>
          </cell>
          <cell r="I1874">
            <v>0</v>
          </cell>
        </row>
        <row r="1875">
          <cell r="C1875" t="str">
            <v>84940AE120</v>
          </cell>
          <cell r="D1875">
            <v>1</v>
          </cell>
          <cell r="E1875">
            <v>0</v>
          </cell>
          <cell r="F1875">
            <v>414</v>
          </cell>
          <cell r="G1875" t="str">
            <v>PACK1N</v>
          </cell>
          <cell r="H1875" t="str">
            <v>B049</v>
          </cell>
          <cell r="I1875">
            <v>0</v>
          </cell>
        </row>
        <row r="1876">
          <cell r="C1876" t="str">
            <v>84940AE150</v>
          </cell>
          <cell r="D1876">
            <v>1</v>
          </cell>
          <cell r="E1876">
            <v>0</v>
          </cell>
          <cell r="F1876">
            <v>414</v>
          </cell>
          <cell r="G1876" t="str">
            <v>PACK1N</v>
          </cell>
          <cell r="H1876" t="str">
            <v>B049</v>
          </cell>
          <cell r="I1876">
            <v>0</v>
          </cell>
        </row>
        <row r="1877">
          <cell r="C1877" t="str">
            <v>84940AE160</v>
          </cell>
          <cell r="D1877">
            <v>1</v>
          </cell>
          <cell r="E1877">
            <v>0</v>
          </cell>
          <cell r="F1877">
            <v>414</v>
          </cell>
          <cell r="G1877" t="str">
            <v>PACK1N</v>
          </cell>
          <cell r="H1877" t="str">
            <v>B049</v>
          </cell>
          <cell r="I1877">
            <v>0</v>
          </cell>
        </row>
        <row r="1878">
          <cell r="C1878" t="str">
            <v>84953AE000</v>
          </cell>
          <cell r="D1878">
            <v>1</v>
          </cell>
          <cell r="E1878">
            <v>0</v>
          </cell>
          <cell r="F1878">
            <v>214</v>
          </cell>
          <cell r="G1878" t="str">
            <v>C0VER</v>
          </cell>
          <cell r="H1878" t="str">
            <v>B009</v>
          </cell>
          <cell r="I1878">
            <v>0</v>
          </cell>
        </row>
        <row r="1879">
          <cell r="C1879" t="str">
            <v>84953AE010</v>
          </cell>
          <cell r="D1879">
            <v>1</v>
          </cell>
          <cell r="E1879">
            <v>0</v>
          </cell>
          <cell r="F1879">
            <v>214</v>
          </cell>
          <cell r="G1879" t="str">
            <v>C0VER</v>
          </cell>
          <cell r="H1879" t="str">
            <v>B009</v>
          </cell>
          <cell r="I1879">
            <v>0</v>
          </cell>
        </row>
        <row r="1880">
          <cell r="C1880" t="str">
            <v>84953AE080</v>
          </cell>
          <cell r="D1880">
            <v>1</v>
          </cell>
          <cell r="E1880">
            <v>0</v>
          </cell>
          <cell r="F1880">
            <v>414</v>
          </cell>
          <cell r="G1880" t="str">
            <v>COVER</v>
          </cell>
          <cell r="H1880" t="str">
            <v>C009</v>
          </cell>
          <cell r="I1880">
            <v>100</v>
          </cell>
        </row>
        <row r="1881">
          <cell r="C1881" t="str">
            <v>84953AE080</v>
          </cell>
          <cell r="D1881">
            <v>1</v>
          </cell>
          <cell r="E1881">
            <v>0</v>
          </cell>
          <cell r="F1881">
            <v>414</v>
          </cell>
          <cell r="G1881" t="str">
            <v>COVER</v>
          </cell>
          <cell r="H1881" t="str">
            <v>C009</v>
          </cell>
          <cell r="I1881">
            <v>0</v>
          </cell>
        </row>
        <row r="1882">
          <cell r="C1882" t="str">
            <v>84953AE090</v>
          </cell>
          <cell r="D1882">
            <v>1</v>
          </cell>
          <cell r="E1882">
            <v>0</v>
          </cell>
          <cell r="F1882">
            <v>414</v>
          </cell>
          <cell r="G1882" t="str">
            <v>COVER</v>
          </cell>
          <cell r="H1882" t="str">
            <v>C009</v>
          </cell>
          <cell r="I1882">
            <v>100</v>
          </cell>
        </row>
        <row r="1883">
          <cell r="C1883" t="str">
            <v>84953AE090</v>
          </cell>
          <cell r="D1883">
            <v>1</v>
          </cell>
          <cell r="E1883">
            <v>0</v>
          </cell>
          <cell r="F1883">
            <v>414</v>
          </cell>
          <cell r="G1883" t="str">
            <v>COVER</v>
          </cell>
          <cell r="H1883" t="str">
            <v>C009</v>
          </cell>
          <cell r="I1883">
            <v>0</v>
          </cell>
        </row>
        <row r="1884">
          <cell r="C1884">
            <v>45404254</v>
          </cell>
          <cell r="D1884">
            <v>1</v>
          </cell>
          <cell r="E1884">
            <v>0</v>
          </cell>
          <cell r="F1884">
            <v>415</v>
          </cell>
          <cell r="G1884" t="str">
            <v>SCREW</v>
          </cell>
          <cell r="H1884" t="str">
            <v>B119</v>
          </cell>
          <cell r="I1884">
            <v>0</v>
          </cell>
        </row>
        <row r="1885">
          <cell r="C1885">
            <v>45404254</v>
          </cell>
          <cell r="D1885">
            <v>1</v>
          </cell>
          <cell r="E1885">
            <v>0</v>
          </cell>
          <cell r="F1885">
            <v>415</v>
          </cell>
          <cell r="G1885" t="str">
            <v>SCREW</v>
          </cell>
          <cell r="H1885" t="str">
            <v>B119</v>
          </cell>
          <cell r="I1885">
            <v>0</v>
          </cell>
        </row>
        <row r="1886">
          <cell r="C1886">
            <v>45504254</v>
          </cell>
          <cell r="D1886">
            <v>1</v>
          </cell>
          <cell r="E1886">
            <v>0</v>
          </cell>
          <cell r="F1886">
            <v>415</v>
          </cell>
          <cell r="G1886" t="str">
            <v>SCREW</v>
          </cell>
          <cell r="H1886" t="str">
            <v>B119</v>
          </cell>
          <cell r="I1886">
            <v>0</v>
          </cell>
        </row>
        <row r="1887">
          <cell r="C1887">
            <v>45504254</v>
          </cell>
          <cell r="D1887">
            <v>1</v>
          </cell>
          <cell r="E1887">
            <v>0</v>
          </cell>
          <cell r="F1887">
            <v>415</v>
          </cell>
          <cell r="G1887" t="str">
            <v>SCREW</v>
          </cell>
          <cell r="H1887" t="str">
            <v>B119</v>
          </cell>
          <cell r="I1887">
            <v>0</v>
          </cell>
        </row>
        <row r="1888">
          <cell r="C1888" t="str">
            <v>84001KE000</v>
          </cell>
          <cell r="D1888">
            <v>1</v>
          </cell>
          <cell r="E1888">
            <v>0</v>
          </cell>
          <cell r="F1888">
            <v>155</v>
          </cell>
          <cell r="G1888" t="str">
            <v>H/L</v>
          </cell>
          <cell r="H1888" t="str">
            <v>A190</v>
          </cell>
          <cell r="I1888">
            <v>9000</v>
          </cell>
        </row>
        <row r="1889">
          <cell r="C1889" t="str">
            <v>84001KE000</v>
          </cell>
          <cell r="D1889">
            <v>1</v>
          </cell>
          <cell r="E1889">
            <v>0</v>
          </cell>
          <cell r="F1889">
            <v>155</v>
          </cell>
          <cell r="G1889" t="str">
            <v>H/L</v>
          </cell>
          <cell r="H1889" t="str">
            <v>A190</v>
          </cell>
          <cell r="I1889">
            <v>0</v>
          </cell>
        </row>
        <row r="1890">
          <cell r="C1890" t="str">
            <v>84001KE010</v>
          </cell>
          <cell r="D1890">
            <v>1</v>
          </cell>
          <cell r="E1890">
            <v>0</v>
          </cell>
          <cell r="F1890">
            <v>155</v>
          </cell>
          <cell r="G1890" t="str">
            <v>H/L</v>
          </cell>
          <cell r="H1890" t="str">
            <v>A190</v>
          </cell>
          <cell r="I1890">
            <v>9000</v>
          </cell>
        </row>
        <row r="1891">
          <cell r="C1891" t="str">
            <v>84001KE010</v>
          </cell>
          <cell r="D1891">
            <v>1</v>
          </cell>
          <cell r="E1891">
            <v>0</v>
          </cell>
          <cell r="F1891">
            <v>155</v>
          </cell>
          <cell r="G1891" t="str">
            <v>H/L</v>
          </cell>
          <cell r="H1891" t="str">
            <v>A190</v>
          </cell>
          <cell r="I1891">
            <v>0</v>
          </cell>
        </row>
        <row r="1892">
          <cell r="C1892" t="str">
            <v>84441KE000</v>
          </cell>
          <cell r="D1892">
            <v>1</v>
          </cell>
          <cell r="E1892">
            <v>0</v>
          </cell>
          <cell r="F1892">
            <v>415</v>
          </cell>
          <cell r="G1892" t="str">
            <v>FTR/L</v>
          </cell>
          <cell r="H1892" t="str">
            <v>B110</v>
          </cell>
          <cell r="I1892">
            <v>7110</v>
          </cell>
        </row>
        <row r="1893">
          <cell r="C1893" t="str">
            <v>84441KE000</v>
          </cell>
          <cell r="D1893">
            <v>1</v>
          </cell>
          <cell r="E1893">
            <v>0</v>
          </cell>
          <cell r="F1893">
            <v>415</v>
          </cell>
          <cell r="G1893" t="str">
            <v>FTR/L</v>
          </cell>
          <cell r="H1893" t="str">
            <v>B110</v>
          </cell>
          <cell r="I1893">
            <v>0</v>
          </cell>
        </row>
        <row r="1894">
          <cell r="C1894" t="str">
            <v>84441KE010</v>
          </cell>
          <cell r="D1894">
            <v>1</v>
          </cell>
          <cell r="E1894">
            <v>0</v>
          </cell>
          <cell r="F1894">
            <v>415</v>
          </cell>
          <cell r="G1894" t="str">
            <v>FTR/L</v>
          </cell>
          <cell r="H1894" t="str">
            <v>B110</v>
          </cell>
          <cell r="I1894">
            <v>7110</v>
          </cell>
        </row>
        <row r="1895">
          <cell r="C1895" t="str">
            <v>84441KE010</v>
          </cell>
          <cell r="D1895">
            <v>1</v>
          </cell>
          <cell r="E1895">
            <v>0</v>
          </cell>
          <cell r="F1895">
            <v>415</v>
          </cell>
          <cell r="G1895" t="str">
            <v>FTR/L</v>
          </cell>
          <cell r="H1895" t="str">
            <v>B110</v>
          </cell>
          <cell r="I1895">
            <v>0</v>
          </cell>
        </row>
        <row r="1896">
          <cell r="C1896" t="str">
            <v>84441KE020</v>
          </cell>
          <cell r="D1896">
            <v>1</v>
          </cell>
          <cell r="E1896">
            <v>0</v>
          </cell>
          <cell r="F1896">
            <v>415</v>
          </cell>
          <cell r="G1896" t="str">
            <v>FTR/L</v>
          </cell>
          <cell r="H1896" t="str">
            <v>B110</v>
          </cell>
          <cell r="I1896">
            <v>1890</v>
          </cell>
        </row>
        <row r="1897">
          <cell r="C1897" t="str">
            <v>84441KE020</v>
          </cell>
          <cell r="D1897">
            <v>1</v>
          </cell>
          <cell r="E1897">
            <v>0</v>
          </cell>
          <cell r="F1897">
            <v>415</v>
          </cell>
          <cell r="G1897" t="str">
            <v>FTR/L</v>
          </cell>
          <cell r="H1897" t="str">
            <v>B110</v>
          </cell>
          <cell r="I1897">
            <v>0</v>
          </cell>
        </row>
        <row r="1898">
          <cell r="C1898" t="str">
            <v>84441KE030</v>
          </cell>
          <cell r="D1898">
            <v>1</v>
          </cell>
          <cell r="E1898">
            <v>0</v>
          </cell>
          <cell r="F1898">
            <v>415</v>
          </cell>
          <cell r="G1898" t="str">
            <v>FTR/L</v>
          </cell>
          <cell r="H1898" t="str">
            <v>B110</v>
          </cell>
          <cell r="I1898">
            <v>1890</v>
          </cell>
        </row>
        <row r="1899">
          <cell r="C1899" t="str">
            <v>84441KE030</v>
          </cell>
          <cell r="D1899">
            <v>1</v>
          </cell>
          <cell r="E1899">
            <v>0</v>
          </cell>
          <cell r="F1899">
            <v>415</v>
          </cell>
          <cell r="G1899" t="str">
            <v>FTR/L</v>
          </cell>
          <cell r="H1899" t="str">
            <v>B110</v>
          </cell>
          <cell r="I1899">
            <v>0</v>
          </cell>
        </row>
        <row r="1900">
          <cell r="C1900" t="str">
            <v>84912KE020</v>
          </cell>
          <cell r="D1900">
            <v>1</v>
          </cell>
          <cell r="E1900">
            <v>0</v>
          </cell>
          <cell r="F1900">
            <v>155</v>
          </cell>
          <cell r="G1900" t="str">
            <v>LENS&amp;B</v>
          </cell>
          <cell r="H1900" t="str">
            <v>A199</v>
          </cell>
          <cell r="I1900">
            <v>0</v>
          </cell>
        </row>
        <row r="1901">
          <cell r="C1901" t="str">
            <v>84912KE030</v>
          </cell>
          <cell r="D1901">
            <v>1</v>
          </cell>
          <cell r="E1901">
            <v>0</v>
          </cell>
          <cell r="F1901">
            <v>155</v>
          </cell>
          <cell r="G1901" t="str">
            <v>LENS&amp;B</v>
          </cell>
          <cell r="H1901" t="str">
            <v>A199</v>
          </cell>
          <cell r="I1901">
            <v>0</v>
          </cell>
        </row>
        <row r="1902">
          <cell r="C1902" t="str">
            <v>84912KE050</v>
          </cell>
          <cell r="D1902">
            <v>1</v>
          </cell>
          <cell r="E1902">
            <v>0</v>
          </cell>
          <cell r="F1902">
            <v>415</v>
          </cell>
          <cell r="G1902" t="str">
            <v>LENS&amp;B</v>
          </cell>
          <cell r="H1902" t="str">
            <v>B119</v>
          </cell>
          <cell r="I1902">
            <v>0</v>
          </cell>
        </row>
        <row r="1903">
          <cell r="C1903" t="str">
            <v>84912KE060</v>
          </cell>
          <cell r="D1903">
            <v>1</v>
          </cell>
          <cell r="E1903">
            <v>0</v>
          </cell>
          <cell r="F1903">
            <v>415</v>
          </cell>
          <cell r="G1903" t="str">
            <v>LENS&amp;B</v>
          </cell>
          <cell r="H1903" t="str">
            <v>B119</v>
          </cell>
          <cell r="I1903">
            <v>0</v>
          </cell>
        </row>
        <row r="1904">
          <cell r="C1904" t="str">
            <v>84912KE070</v>
          </cell>
          <cell r="D1904">
            <v>1</v>
          </cell>
          <cell r="E1904">
            <v>0</v>
          </cell>
          <cell r="F1904">
            <v>415</v>
          </cell>
          <cell r="G1904" t="str">
            <v>LENS&amp;B</v>
          </cell>
          <cell r="H1904" t="str">
            <v>B119</v>
          </cell>
          <cell r="I1904">
            <v>0</v>
          </cell>
        </row>
        <row r="1905">
          <cell r="C1905" t="str">
            <v>84912KE080</v>
          </cell>
          <cell r="D1905">
            <v>1</v>
          </cell>
          <cell r="E1905">
            <v>0</v>
          </cell>
          <cell r="F1905">
            <v>415</v>
          </cell>
          <cell r="G1905" t="str">
            <v>LENS&amp;B</v>
          </cell>
          <cell r="H1905" t="str">
            <v>B119</v>
          </cell>
          <cell r="I1905">
            <v>0</v>
          </cell>
        </row>
        <row r="1906">
          <cell r="C1906" t="str">
            <v>84920KE000</v>
          </cell>
          <cell r="D1906">
            <v>1</v>
          </cell>
          <cell r="E1906">
            <v>0</v>
          </cell>
          <cell r="F1906">
            <v>155</v>
          </cell>
          <cell r="G1906" t="str">
            <v>BULB</v>
          </cell>
          <cell r="H1906" t="str">
            <v>A199</v>
          </cell>
          <cell r="I1906">
            <v>0</v>
          </cell>
        </row>
        <row r="1907">
          <cell r="C1907" t="str">
            <v>84920KE010</v>
          </cell>
          <cell r="D1907">
            <v>1</v>
          </cell>
          <cell r="E1907">
            <v>0</v>
          </cell>
          <cell r="F1907">
            <v>415</v>
          </cell>
          <cell r="G1907" t="str">
            <v>BULB</v>
          </cell>
          <cell r="H1907" t="str">
            <v>B119</v>
          </cell>
          <cell r="I1907">
            <v>0</v>
          </cell>
        </row>
        <row r="1908">
          <cell r="C1908" t="str">
            <v>84930KE000</v>
          </cell>
          <cell r="D1908">
            <v>1</v>
          </cell>
          <cell r="E1908">
            <v>0</v>
          </cell>
          <cell r="F1908">
            <v>415</v>
          </cell>
          <cell r="G1908" t="str">
            <v>S0KET</v>
          </cell>
          <cell r="H1908" t="str">
            <v>B119</v>
          </cell>
          <cell r="I1908">
            <v>0</v>
          </cell>
        </row>
        <row r="1909">
          <cell r="C1909" t="str">
            <v>84930KE010</v>
          </cell>
          <cell r="D1909">
            <v>1</v>
          </cell>
          <cell r="E1909">
            <v>0</v>
          </cell>
          <cell r="F1909">
            <v>155</v>
          </cell>
          <cell r="G1909" t="str">
            <v>S0KET</v>
          </cell>
          <cell r="H1909" t="str">
            <v>A199</v>
          </cell>
          <cell r="I1909">
            <v>0</v>
          </cell>
        </row>
        <row r="1910">
          <cell r="C1910" t="str">
            <v>84930KE020</v>
          </cell>
          <cell r="D1910">
            <v>1</v>
          </cell>
          <cell r="E1910">
            <v>0</v>
          </cell>
          <cell r="F1910">
            <v>415</v>
          </cell>
          <cell r="G1910" t="str">
            <v>S0KET</v>
          </cell>
          <cell r="H1910" t="str">
            <v>B119</v>
          </cell>
          <cell r="I1910">
            <v>0</v>
          </cell>
        </row>
        <row r="1911">
          <cell r="C1911" t="str">
            <v>91031KE020</v>
          </cell>
          <cell r="D1911">
            <v>1</v>
          </cell>
          <cell r="E1911">
            <v>0</v>
          </cell>
          <cell r="F1911">
            <v>513</v>
          </cell>
          <cell r="G1911" t="str">
            <v>D/M</v>
          </cell>
          <cell r="H1911" t="str">
            <v>G150</v>
          </cell>
          <cell r="I1911">
            <v>3870</v>
          </cell>
        </row>
        <row r="1912">
          <cell r="C1912" t="str">
            <v>91031KE020</v>
          </cell>
          <cell r="D1912">
            <v>1</v>
          </cell>
          <cell r="E1912">
            <v>0</v>
          </cell>
          <cell r="F1912">
            <v>513</v>
          </cell>
          <cell r="G1912" t="str">
            <v>D/M</v>
          </cell>
          <cell r="H1912" t="str">
            <v>G150</v>
          </cell>
          <cell r="I1912">
            <v>0</v>
          </cell>
        </row>
        <row r="1913">
          <cell r="C1913" t="str">
            <v>91031KE030</v>
          </cell>
          <cell r="D1913">
            <v>1</v>
          </cell>
          <cell r="E1913">
            <v>0</v>
          </cell>
          <cell r="F1913">
            <v>513</v>
          </cell>
          <cell r="G1913" t="str">
            <v>D/M</v>
          </cell>
          <cell r="H1913" t="str">
            <v>G150</v>
          </cell>
          <cell r="I1913">
            <v>3870</v>
          </cell>
        </row>
        <row r="1914">
          <cell r="C1914" t="str">
            <v>91031KE030</v>
          </cell>
          <cell r="D1914">
            <v>1</v>
          </cell>
          <cell r="E1914">
            <v>0</v>
          </cell>
          <cell r="F1914">
            <v>513</v>
          </cell>
          <cell r="G1914" t="str">
            <v>D/M</v>
          </cell>
          <cell r="H1914" t="str">
            <v>G150</v>
          </cell>
          <cell r="I1914">
            <v>0</v>
          </cell>
        </row>
        <row r="1915">
          <cell r="C1915" t="str">
            <v>91031KE040</v>
          </cell>
          <cell r="D1915">
            <v>1</v>
          </cell>
          <cell r="E1915">
            <v>0</v>
          </cell>
          <cell r="F1915">
            <v>513</v>
          </cell>
          <cell r="G1915" t="str">
            <v>D/M</v>
          </cell>
          <cell r="H1915" t="str">
            <v>G220</v>
          </cell>
          <cell r="I1915">
            <v>1620</v>
          </cell>
        </row>
        <row r="1916">
          <cell r="C1916" t="str">
            <v>91031KE040</v>
          </cell>
          <cell r="D1916">
            <v>1</v>
          </cell>
          <cell r="E1916">
            <v>0</v>
          </cell>
          <cell r="F1916">
            <v>513</v>
          </cell>
          <cell r="G1916" t="str">
            <v>D/M</v>
          </cell>
          <cell r="H1916" t="str">
            <v>G220</v>
          </cell>
          <cell r="I1916">
            <v>0</v>
          </cell>
        </row>
        <row r="1917">
          <cell r="C1917" t="str">
            <v>91031KE050</v>
          </cell>
          <cell r="D1917">
            <v>1</v>
          </cell>
          <cell r="E1917">
            <v>0</v>
          </cell>
          <cell r="F1917">
            <v>513</v>
          </cell>
          <cell r="G1917" t="str">
            <v>D/M</v>
          </cell>
          <cell r="H1917" t="str">
            <v>G220</v>
          </cell>
          <cell r="I1917">
            <v>1620</v>
          </cell>
        </row>
        <row r="1918">
          <cell r="C1918" t="str">
            <v>91031KE050</v>
          </cell>
          <cell r="D1918">
            <v>1</v>
          </cell>
          <cell r="E1918">
            <v>0</v>
          </cell>
          <cell r="F1918">
            <v>513</v>
          </cell>
          <cell r="G1918" t="str">
            <v>D/M</v>
          </cell>
          <cell r="H1918" t="str">
            <v>G220</v>
          </cell>
          <cell r="I1918">
            <v>0</v>
          </cell>
        </row>
        <row r="1919">
          <cell r="C1919" t="str">
            <v>91036KE000</v>
          </cell>
          <cell r="D1919">
            <v>1</v>
          </cell>
          <cell r="E1919">
            <v>0</v>
          </cell>
          <cell r="F1919">
            <v>513</v>
          </cell>
          <cell r="G1919">
            <v>0</v>
          </cell>
          <cell r="H1919" t="str">
            <v>G159</v>
          </cell>
          <cell r="I1919">
            <v>0</v>
          </cell>
        </row>
        <row r="1920">
          <cell r="C1920" t="str">
            <v>91036KE010</v>
          </cell>
          <cell r="D1920">
            <v>1</v>
          </cell>
          <cell r="E1920">
            <v>0</v>
          </cell>
          <cell r="F1920">
            <v>513</v>
          </cell>
          <cell r="G1920">
            <v>0</v>
          </cell>
          <cell r="H1920" t="str">
            <v>G159</v>
          </cell>
          <cell r="I1920">
            <v>0</v>
          </cell>
        </row>
        <row r="1921">
          <cell r="C1921" t="str">
            <v>91036KE020</v>
          </cell>
          <cell r="D1921">
            <v>1</v>
          </cell>
          <cell r="E1921">
            <v>0</v>
          </cell>
          <cell r="F1921">
            <v>513</v>
          </cell>
          <cell r="G1921">
            <v>0</v>
          </cell>
          <cell r="H1921" t="str">
            <v>G229</v>
          </cell>
          <cell r="I1921">
            <v>0</v>
          </cell>
        </row>
        <row r="1922">
          <cell r="C1922" t="str">
            <v>91036KE030</v>
          </cell>
          <cell r="D1922">
            <v>1</v>
          </cell>
          <cell r="E1922">
            <v>0</v>
          </cell>
          <cell r="F1922">
            <v>513</v>
          </cell>
          <cell r="G1922">
            <v>0</v>
          </cell>
          <cell r="H1922" t="str">
            <v>G229</v>
          </cell>
          <cell r="I1922">
            <v>0</v>
          </cell>
        </row>
        <row r="1923">
          <cell r="C1923" t="str">
            <v>91039KE000</v>
          </cell>
          <cell r="D1923">
            <v>1</v>
          </cell>
          <cell r="E1923">
            <v>0</v>
          </cell>
          <cell r="F1923">
            <v>513</v>
          </cell>
          <cell r="G1923" t="str">
            <v>M1RR0R</v>
          </cell>
          <cell r="H1923" t="str">
            <v>G159</v>
          </cell>
          <cell r="I1923">
            <v>0</v>
          </cell>
        </row>
        <row r="1924">
          <cell r="C1924" t="str">
            <v>91039KE010</v>
          </cell>
          <cell r="D1924">
            <v>1</v>
          </cell>
          <cell r="E1924">
            <v>0</v>
          </cell>
          <cell r="F1924">
            <v>513</v>
          </cell>
          <cell r="G1924" t="str">
            <v>M1RR0R</v>
          </cell>
          <cell r="H1924" t="str">
            <v>G159</v>
          </cell>
          <cell r="I1924">
            <v>0</v>
          </cell>
        </row>
        <row r="1925">
          <cell r="C1925" t="str">
            <v>91039KE020</v>
          </cell>
          <cell r="D1925">
            <v>1</v>
          </cell>
          <cell r="E1925">
            <v>0</v>
          </cell>
          <cell r="F1925">
            <v>513</v>
          </cell>
          <cell r="G1925" t="str">
            <v>M1RR0R</v>
          </cell>
          <cell r="H1925" t="str">
            <v>G229</v>
          </cell>
          <cell r="I1925">
            <v>0</v>
          </cell>
        </row>
        <row r="1926">
          <cell r="C1926" t="str">
            <v>91039KE030</v>
          </cell>
          <cell r="D1926">
            <v>1</v>
          </cell>
          <cell r="E1926">
            <v>0</v>
          </cell>
          <cell r="F1926">
            <v>513</v>
          </cell>
          <cell r="G1926" t="str">
            <v>M1RR0R</v>
          </cell>
          <cell r="H1926" t="str">
            <v>G229</v>
          </cell>
          <cell r="I1926">
            <v>0</v>
          </cell>
        </row>
        <row r="1927">
          <cell r="C1927" t="str">
            <v>92021KE000ML</v>
          </cell>
          <cell r="D1927">
            <v>2</v>
          </cell>
          <cell r="E1927">
            <v>0</v>
          </cell>
          <cell r="F1927">
            <v>563</v>
          </cell>
          <cell r="G1927" t="str">
            <v>I/M</v>
          </cell>
          <cell r="H1927" t="str">
            <v>H000</v>
          </cell>
          <cell r="I1927">
            <v>7110</v>
          </cell>
        </row>
        <row r="1928">
          <cell r="C1928" t="str">
            <v>92021KE000ML</v>
          </cell>
          <cell r="D1928">
            <v>2</v>
          </cell>
          <cell r="E1928">
            <v>0</v>
          </cell>
          <cell r="F1928">
            <v>563</v>
          </cell>
          <cell r="G1928" t="str">
            <v>I/M</v>
          </cell>
          <cell r="H1928" t="str">
            <v>H000</v>
          </cell>
          <cell r="I1928">
            <v>0</v>
          </cell>
        </row>
        <row r="1929">
          <cell r="C1929" t="str">
            <v>92021KE010ML</v>
          </cell>
          <cell r="D1929">
            <v>2</v>
          </cell>
          <cell r="E1929">
            <v>0</v>
          </cell>
          <cell r="F1929">
            <v>563</v>
          </cell>
          <cell r="G1929" t="str">
            <v>GP/M</v>
          </cell>
          <cell r="H1929" t="str">
            <v>H100</v>
          </cell>
          <cell r="I1929">
            <v>1890</v>
          </cell>
        </row>
        <row r="1930">
          <cell r="C1930" t="str">
            <v>92021KE010ML</v>
          </cell>
          <cell r="D1930">
            <v>2</v>
          </cell>
          <cell r="E1930">
            <v>0</v>
          </cell>
          <cell r="F1930">
            <v>563</v>
          </cell>
          <cell r="G1930" t="str">
            <v>GP/M</v>
          </cell>
          <cell r="H1930" t="str">
            <v>H100</v>
          </cell>
          <cell r="I1930">
            <v>0</v>
          </cell>
        </row>
        <row r="1931">
          <cell r="C1931" t="str">
            <v>92073KE000NP</v>
          </cell>
          <cell r="D1931">
            <v>1</v>
          </cell>
          <cell r="E1931">
            <v>0</v>
          </cell>
          <cell r="F1931">
            <v>563</v>
          </cell>
          <cell r="G1931" t="str">
            <v>CAP</v>
          </cell>
          <cell r="H1931" t="str">
            <v>H112</v>
          </cell>
          <cell r="I1931">
            <v>7110</v>
          </cell>
        </row>
        <row r="1932">
          <cell r="C1932" t="str">
            <v>92073KE000NP</v>
          </cell>
          <cell r="D1932">
            <v>1</v>
          </cell>
          <cell r="E1932">
            <v>0</v>
          </cell>
          <cell r="F1932">
            <v>563</v>
          </cell>
          <cell r="G1932" t="str">
            <v>CAP</v>
          </cell>
          <cell r="H1932" t="str">
            <v>H112</v>
          </cell>
          <cell r="I1932">
            <v>0</v>
          </cell>
        </row>
        <row r="1933">
          <cell r="C1933" t="str">
            <v>92073KE010NP</v>
          </cell>
          <cell r="D1933">
            <v>1</v>
          </cell>
          <cell r="E1933">
            <v>0</v>
          </cell>
          <cell r="F1933">
            <v>563</v>
          </cell>
          <cell r="G1933" t="str">
            <v>CAP</v>
          </cell>
          <cell r="H1933" t="str">
            <v>H112</v>
          </cell>
          <cell r="I1933">
            <v>1890</v>
          </cell>
        </row>
        <row r="1934">
          <cell r="C1934" t="str">
            <v>92073KE010NP</v>
          </cell>
          <cell r="D1934">
            <v>1</v>
          </cell>
          <cell r="E1934">
            <v>0</v>
          </cell>
          <cell r="F1934">
            <v>563</v>
          </cell>
          <cell r="G1934" t="str">
            <v>CAP</v>
          </cell>
          <cell r="H1934" t="str">
            <v>H112</v>
          </cell>
          <cell r="I1934">
            <v>0</v>
          </cell>
        </row>
        <row r="1935">
          <cell r="C1935" t="str">
            <v>84001FA361</v>
          </cell>
          <cell r="D1935">
            <v>2</v>
          </cell>
          <cell r="E1935">
            <v>0</v>
          </cell>
          <cell r="F1935">
            <v>155</v>
          </cell>
          <cell r="G1935" t="str">
            <v>H/L</v>
          </cell>
          <cell r="H1935" t="str">
            <v>A199</v>
          </cell>
          <cell r="I1935">
            <v>3400</v>
          </cell>
        </row>
        <row r="1936">
          <cell r="C1936" t="str">
            <v>84001FA361</v>
          </cell>
          <cell r="D1936">
            <v>2</v>
          </cell>
          <cell r="E1936">
            <v>0</v>
          </cell>
          <cell r="F1936">
            <v>155</v>
          </cell>
          <cell r="G1936" t="str">
            <v>H/L</v>
          </cell>
          <cell r="H1936" t="str">
            <v>A199</v>
          </cell>
          <cell r="I1936">
            <v>3400</v>
          </cell>
        </row>
        <row r="1937">
          <cell r="C1937" t="str">
            <v>84001FA371</v>
          </cell>
          <cell r="D1937">
            <v>2</v>
          </cell>
          <cell r="E1937">
            <v>0</v>
          </cell>
          <cell r="F1937">
            <v>155</v>
          </cell>
          <cell r="G1937" t="str">
            <v>H/L</v>
          </cell>
          <cell r="H1937" t="str">
            <v>A199</v>
          </cell>
          <cell r="I1937">
            <v>3400</v>
          </cell>
        </row>
        <row r="1938">
          <cell r="C1938" t="str">
            <v>84001FA371</v>
          </cell>
          <cell r="D1938">
            <v>2</v>
          </cell>
          <cell r="E1938">
            <v>0</v>
          </cell>
          <cell r="F1938">
            <v>155</v>
          </cell>
          <cell r="G1938" t="str">
            <v>H/L</v>
          </cell>
          <cell r="H1938" t="str">
            <v>A199</v>
          </cell>
          <cell r="I1938">
            <v>3400</v>
          </cell>
        </row>
        <row r="1939">
          <cell r="C1939" t="str">
            <v>84001FA381</v>
          </cell>
          <cell r="D1939">
            <v>2</v>
          </cell>
          <cell r="E1939">
            <v>0</v>
          </cell>
          <cell r="F1939">
            <v>155</v>
          </cell>
          <cell r="G1939" t="str">
            <v>H/L</v>
          </cell>
          <cell r="H1939" t="str">
            <v>A199</v>
          </cell>
          <cell r="I1939">
            <v>400</v>
          </cell>
        </row>
        <row r="1940">
          <cell r="C1940" t="str">
            <v>84001FA381</v>
          </cell>
          <cell r="D1940">
            <v>2</v>
          </cell>
          <cell r="E1940">
            <v>0</v>
          </cell>
          <cell r="F1940">
            <v>155</v>
          </cell>
          <cell r="G1940" t="str">
            <v>H/L</v>
          </cell>
          <cell r="H1940" t="str">
            <v>A199</v>
          </cell>
          <cell r="I1940">
            <v>400</v>
          </cell>
        </row>
        <row r="1941">
          <cell r="C1941" t="str">
            <v>84001FA391</v>
          </cell>
          <cell r="D1941">
            <v>2</v>
          </cell>
          <cell r="E1941">
            <v>0</v>
          </cell>
          <cell r="F1941">
            <v>155</v>
          </cell>
          <cell r="G1941" t="str">
            <v>H/L</v>
          </cell>
          <cell r="H1941" t="str">
            <v>A199</v>
          </cell>
          <cell r="I1941">
            <v>400</v>
          </cell>
        </row>
        <row r="1942">
          <cell r="C1942" t="str">
            <v>84001FA391</v>
          </cell>
          <cell r="D1942">
            <v>2</v>
          </cell>
          <cell r="E1942">
            <v>0</v>
          </cell>
          <cell r="F1942">
            <v>155</v>
          </cell>
          <cell r="G1942" t="str">
            <v>H/L</v>
          </cell>
          <cell r="H1942" t="str">
            <v>A199</v>
          </cell>
          <cell r="I1942">
            <v>400</v>
          </cell>
        </row>
        <row r="1943">
          <cell r="C1943" t="str">
            <v>84001FA401</v>
          </cell>
          <cell r="D1943">
            <v>2</v>
          </cell>
          <cell r="E1943">
            <v>0</v>
          </cell>
          <cell r="F1943">
            <v>155</v>
          </cell>
          <cell r="G1943" t="str">
            <v>H/L</v>
          </cell>
          <cell r="H1943" t="str">
            <v>A199</v>
          </cell>
          <cell r="I1943">
            <v>400</v>
          </cell>
        </row>
        <row r="1944">
          <cell r="C1944" t="str">
            <v>84001FA401</v>
          </cell>
          <cell r="D1944">
            <v>2</v>
          </cell>
          <cell r="E1944">
            <v>0</v>
          </cell>
          <cell r="F1944">
            <v>155</v>
          </cell>
          <cell r="G1944" t="str">
            <v>H/L</v>
          </cell>
          <cell r="H1944" t="str">
            <v>A199</v>
          </cell>
          <cell r="I1944">
            <v>400</v>
          </cell>
        </row>
        <row r="1945">
          <cell r="C1945" t="str">
            <v>84001FA411</v>
          </cell>
          <cell r="D1945">
            <v>2</v>
          </cell>
          <cell r="E1945">
            <v>0</v>
          </cell>
          <cell r="F1945">
            <v>155</v>
          </cell>
          <cell r="G1945" t="str">
            <v>H/L</v>
          </cell>
          <cell r="H1945" t="str">
            <v>A199</v>
          </cell>
          <cell r="I1945">
            <v>400</v>
          </cell>
        </row>
        <row r="1946">
          <cell r="C1946" t="str">
            <v>84001FA411</v>
          </cell>
          <cell r="D1946">
            <v>2</v>
          </cell>
          <cell r="E1946">
            <v>0</v>
          </cell>
          <cell r="F1946">
            <v>155</v>
          </cell>
          <cell r="G1946" t="str">
            <v>H/L</v>
          </cell>
          <cell r="H1946" t="str">
            <v>A199</v>
          </cell>
          <cell r="I1946">
            <v>400</v>
          </cell>
        </row>
        <row r="1947">
          <cell r="C1947" t="str">
            <v>84001FA421</v>
          </cell>
          <cell r="D1947">
            <v>2</v>
          </cell>
          <cell r="E1947">
            <v>0</v>
          </cell>
          <cell r="F1947">
            <v>155</v>
          </cell>
          <cell r="G1947" t="str">
            <v>H/L</v>
          </cell>
          <cell r="H1947" t="str">
            <v>A199</v>
          </cell>
          <cell r="I1947">
            <v>400</v>
          </cell>
        </row>
        <row r="1948">
          <cell r="C1948" t="str">
            <v>84001FA421</v>
          </cell>
          <cell r="D1948">
            <v>2</v>
          </cell>
          <cell r="E1948">
            <v>0</v>
          </cell>
          <cell r="F1948">
            <v>155</v>
          </cell>
          <cell r="G1948" t="str">
            <v>H/L</v>
          </cell>
          <cell r="H1948" t="str">
            <v>A199</v>
          </cell>
          <cell r="I1948">
            <v>400</v>
          </cell>
        </row>
        <row r="1949">
          <cell r="C1949" t="str">
            <v>84001FA431</v>
          </cell>
          <cell r="D1949">
            <v>2</v>
          </cell>
          <cell r="E1949">
            <v>0</v>
          </cell>
          <cell r="F1949">
            <v>155</v>
          </cell>
          <cell r="G1949" t="str">
            <v>H/L</v>
          </cell>
          <cell r="H1949" t="str">
            <v>A199</v>
          </cell>
          <cell r="I1949">
            <v>400</v>
          </cell>
        </row>
        <row r="1950">
          <cell r="C1950" t="str">
            <v>84001FA431</v>
          </cell>
          <cell r="D1950">
            <v>2</v>
          </cell>
          <cell r="E1950">
            <v>0</v>
          </cell>
          <cell r="F1950">
            <v>155</v>
          </cell>
          <cell r="G1950" t="str">
            <v>H/L</v>
          </cell>
          <cell r="H1950" t="str">
            <v>A199</v>
          </cell>
          <cell r="I1950">
            <v>400</v>
          </cell>
        </row>
        <row r="1951">
          <cell r="C1951" t="str">
            <v>84001FA441</v>
          </cell>
          <cell r="D1951">
            <v>2</v>
          </cell>
          <cell r="E1951">
            <v>0</v>
          </cell>
          <cell r="F1951">
            <v>155</v>
          </cell>
          <cell r="G1951" t="str">
            <v>H/L</v>
          </cell>
          <cell r="H1951" t="str">
            <v>A190</v>
          </cell>
          <cell r="I1951">
            <v>0</v>
          </cell>
        </row>
        <row r="1952">
          <cell r="C1952" t="str">
            <v>84001FA441</v>
          </cell>
          <cell r="D1952">
            <v>2</v>
          </cell>
          <cell r="E1952">
            <v>0</v>
          </cell>
          <cell r="F1952">
            <v>155</v>
          </cell>
          <cell r="G1952" t="str">
            <v>H/L</v>
          </cell>
          <cell r="H1952" t="str">
            <v>A190</v>
          </cell>
          <cell r="I1952">
            <v>1500</v>
          </cell>
        </row>
        <row r="1953">
          <cell r="C1953" t="str">
            <v>84001FA451</v>
          </cell>
          <cell r="D1953">
            <v>2</v>
          </cell>
          <cell r="E1953">
            <v>0</v>
          </cell>
          <cell r="F1953">
            <v>155</v>
          </cell>
          <cell r="G1953" t="str">
            <v>H/L</v>
          </cell>
          <cell r="H1953" t="str">
            <v>A190</v>
          </cell>
          <cell r="I1953">
            <v>0</v>
          </cell>
        </row>
        <row r="1954">
          <cell r="C1954" t="str">
            <v>84001FA451</v>
          </cell>
          <cell r="D1954">
            <v>2</v>
          </cell>
          <cell r="E1954">
            <v>0</v>
          </cell>
          <cell r="F1954">
            <v>155</v>
          </cell>
          <cell r="G1954" t="str">
            <v>H/L</v>
          </cell>
          <cell r="H1954" t="str">
            <v>A190</v>
          </cell>
          <cell r="I1954">
            <v>1500</v>
          </cell>
        </row>
        <row r="1955">
          <cell r="C1955" t="str">
            <v>84001FA461</v>
          </cell>
          <cell r="D1955">
            <v>2</v>
          </cell>
          <cell r="E1955">
            <v>0</v>
          </cell>
          <cell r="F1955">
            <v>155</v>
          </cell>
          <cell r="G1955" t="str">
            <v>H/L</v>
          </cell>
          <cell r="H1955" t="str">
            <v>A199</v>
          </cell>
          <cell r="I1955">
            <v>500</v>
          </cell>
        </row>
        <row r="1956">
          <cell r="C1956" t="str">
            <v>84001FA461</v>
          </cell>
          <cell r="D1956">
            <v>2</v>
          </cell>
          <cell r="E1956">
            <v>0</v>
          </cell>
          <cell r="F1956">
            <v>155</v>
          </cell>
          <cell r="G1956" t="str">
            <v>H/L</v>
          </cell>
          <cell r="H1956" t="str">
            <v>A199</v>
          </cell>
          <cell r="I1956">
            <v>500</v>
          </cell>
        </row>
        <row r="1957">
          <cell r="C1957" t="str">
            <v>84001FA471</v>
          </cell>
          <cell r="D1957">
            <v>2</v>
          </cell>
          <cell r="E1957">
            <v>0</v>
          </cell>
          <cell r="F1957">
            <v>155</v>
          </cell>
          <cell r="G1957" t="str">
            <v>H/L</v>
          </cell>
          <cell r="H1957" t="str">
            <v>A199</v>
          </cell>
          <cell r="I1957">
            <v>500</v>
          </cell>
        </row>
        <row r="1958">
          <cell r="C1958" t="str">
            <v>84001FA471</v>
          </cell>
          <cell r="D1958">
            <v>2</v>
          </cell>
          <cell r="E1958">
            <v>0</v>
          </cell>
          <cell r="F1958">
            <v>155</v>
          </cell>
          <cell r="G1958" t="str">
            <v>H/L</v>
          </cell>
          <cell r="H1958" t="str">
            <v>A199</v>
          </cell>
          <cell r="I1958">
            <v>500</v>
          </cell>
        </row>
        <row r="1959">
          <cell r="C1959" t="str">
            <v>84913FA190</v>
          </cell>
          <cell r="D1959">
            <v>1</v>
          </cell>
          <cell r="E1959">
            <v>0</v>
          </cell>
          <cell r="F1959">
            <v>155</v>
          </cell>
          <cell r="G1959" t="str">
            <v>LENS&amp;B</v>
          </cell>
          <cell r="H1959" t="str">
            <v>A199</v>
          </cell>
          <cell r="I1959">
            <v>0</v>
          </cell>
        </row>
        <row r="1960">
          <cell r="C1960" t="str">
            <v>84913FA200</v>
          </cell>
          <cell r="D1960">
            <v>1</v>
          </cell>
          <cell r="E1960">
            <v>0</v>
          </cell>
          <cell r="F1960">
            <v>155</v>
          </cell>
          <cell r="G1960" t="str">
            <v>LENS&amp;B</v>
          </cell>
          <cell r="H1960" t="str">
            <v>A199</v>
          </cell>
          <cell r="I1960">
            <v>0</v>
          </cell>
        </row>
        <row r="1961">
          <cell r="C1961" t="str">
            <v>84913FA210</v>
          </cell>
          <cell r="D1961">
            <v>1</v>
          </cell>
          <cell r="E1961">
            <v>0</v>
          </cell>
          <cell r="F1961">
            <v>155</v>
          </cell>
          <cell r="G1961" t="str">
            <v>LENS&amp;B</v>
          </cell>
          <cell r="H1961" t="str">
            <v>A199</v>
          </cell>
          <cell r="I1961">
            <v>0</v>
          </cell>
        </row>
        <row r="1962">
          <cell r="C1962" t="str">
            <v>84913FA220</v>
          </cell>
          <cell r="D1962">
            <v>1</v>
          </cell>
          <cell r="E1962">
            <v>0</v>
          </cell>
          <cell r="F1962">
            <v>155</v>
          </cell>
          <cell r="G1962" t="str">
            <v>LENS&amp;B</v>
          </cell>
          <cell r="H1962" t="str">
            <v>A199</v>
          </cell>
          <cell r="I1962">
            <v>0</v>
          </cell>
        </row>
        <row r="1963">
          <cell r="C1963" t="str">
            <v>84913FA230</v>
          </cell>
          <cell r="D1963">
            <v>1</v>
          </cell>
          <cell r="E1963">
            <v>0</v>
          </cell>
          <cell r="F1963">
            <v>155</v>
          </cell>
          <cell r="G1963" t="str">
            <v>LENS&amp;B</v>
          </cell>
          <cell r="H1963" t="str">
            <v>A199</v>
          </cell>
          <cell r="I1963">
            <v>0</v>
          </cell>
        </row>
        <row r="1964">
          <cell r="C1964" t="str">
            <v>84913FA240</v>
          </cell>
          <cell r="D1964">
            <v>1</v>
          </cell>
          <cell r="E1964">
            <v>0</v>
          </cell>
          <cell r="F1964">
            <v>155</v>
          </cell>
          <cell r="G1964" t="str">
            <v>LENS&amp;B</v>
          </cell>
          <cell r="H1964" t="str">
            <v>A199</v>
          </cell>
          <cell r="I1964">
            <v>0</v>
          </cell>
        </row>
        <row r="1965">
          <cell r="C1965" t="str">
            <v>84913FA250</v>
          </cell>
          <cell r="D1965">
            <v>1</v>
          </cell>
          <cell r="E1965">
            <v>0</v>
          </cell>
          <cell r="F1965">
            <v>155</v>
          </cell>
          <cell r="G1965" t="str">
            <v>LENS&amp;B</v>
          </cell>
          <cell r="H1965" t="str">
            <v>A199</v>
          </cell>
          <cell r="I1965">
            <v>0</v>
          </cell>
        </row>
        <row r="1966">
          <cell r="C1966" t="str">
            <v>84913FA260</v>
          </cell>
          <cell r="D1966">
            <v>1</v>
          </cell>
          <cell r="E1966">
            <v>0</v>
          </cell>
          <cell r="F1966">
            <v>155</v>
          </cell>
          <cell r="G1966" t="str">
            <v>LENS&amp;B</v>
          </cell>
          <cell r="H1966" t="str">
            <v>A199</v>
          </cell>
          <cell r="I1966">
            <v>0</v>
          </cell>
        </row>
        <row r="1967">
          <cell r="C1967" t="str">
            <v>84913FA270</v>
          </cell>
          <cell r="D1967">
            <v>1</v>
          </cell>
          <cell r="E1967">
            <v>0</v>
          </cell>
          <cell r="F1967">
            <v>155</v>
          </cell>
          <cell r="G1967" t="str">
            <v>LENS&amp;B</v>
          </cell>
          <cell r="H1967" t="str">
            <v>A199</v>
          </cell>
          <cell r="I1967">
            <v>0</v>
          </cell>
        </row>
        <row r="1968">
          <cell r="C1968" t="str">
            <v>84913FA280</v>
          </cell>
          <cell r="D1968">
            <v>1</v>
          </cell>
          <cell r="E1968">
            <v>0</v>
          </cell>
          <cell r="F1968">
            <v>155</v>
          </cell>
          <cell r="G1968" t="str">
            <v>LENS&amp;B</v>
          </cell>
          <cell r="H1968" t="str">
            <v>A199</v>
          </cell>
          <cell r="I1968">
            <v>0</v>
          </cell>
        </row>
        <row r="1969">
          <cell r="C1969" t="str">
            <v>84913FA410</v>
          </cell>
          <cell r="D1969">
            <v>1</v>
          </cell>
          <cell r="E1969">
            <v>0</v>
          </cell>
          <cell r="F1969">
            <v>155</v>
          </cell>
          <cell r="G1969" t="str">
            <v>LENS&amp;B</v>
          </cell>
          <cell r="H1969" t="str">
            <v>A199</v>
          </cell>
          <cell r="I1969">
            <v>0</v>
          </cell>
        </row>
        <row r="1970">
          <cell r="C1970" t="str">
            <v>84913FA420</v>
          </cell>
          <cell r="D1970">
            <v>1</v>
          </cell>
          <cell r="E1970">
            <v>0</v>
          </cell>
          <cell r="F1970">
            <v>155</v>
          </cell>
          <cell r="G1970" t="str">
            <v>LENS&amp;B</v>
          </cell>
          <cell r="H1970" t="str">
            <v>A199</v>
          </cell>
          <cell r="I1970">
            <v>0</v>
          </cell>
        </row>
        <row r="1971">
          <cell r="C1971" t="str">
            <v>84920AC030</v>
          </cell>
          <cell r="D1971">
            <v>1</v>
          </cell>
          <cell r="E1971">
            <v>0</v>
          </cell>
          <cell r="F1971">
            <v>155</v>
          </cell>
          <cell r="G1971" t="str">
            <v>BULB</v>
          </cell>
          <cell r="H1971" t="str">
            <v>A199</v>
          </cell>
          <cell r="I1971">
            <v>0</v>
          </cell>
        </row>
        <row r="1972">
          <cell r="C1972" t="str">
            <v>84927FA250</v>
          </cell>
          <cell r="D1972">
            <v>1</v>
          </cell>
          <cell r="E1972">
            <v>0</v>
          </cell>
          <cell r="F1972">
            <v>155</v>
          </cell>
          <cell r="G1972" t="str">
            <v>BRKT</v>
          </cell>
          <cell r="H1972" t="str">
            <v>A199</v>
          </cell>
          <cell r="I1972">
            <v>0</v>
          </cell>
        </row>
        <row r="1973">
          <cell r="C1973" t="str">
            <v>84962AA090</v>
          </cell>
          <cell r="D1973">
            <v>1</v>
          </cell>
          <cell r="E1973">
            <v>0</v>
          </cell>
          <cell r="F1973">
            <v>415</v>
          </cell>
          <cell r="G1973" t="str">
            <v>C0VER</v>
          </cell>
          <cell r="H1973" t="str">
            <v>A059</v>
          </cell>
          <cell r="I1973">
            <v>0</v>
          </cell>
        </row>
        <row r="1974">
          <cell r="C1974" t="str">
            <v>84001KE020</v>
          </cell>
          <cell r="D1974">
            <v>1</v>
          </cell>
          <cell r="E1974">
            <v>0</v>
          </cell>
          <cell r="F1974">
            <v>155</v>
          </cell>
          <cell r="G1974" t="str">
            <v>H/L</v>
          </cell>
          <cell r="H1974" t="str">
            <v>A190</v>
          </cell>
          <cell r="I1974">
            <v>3000</v>
          </cell>
        </row>
        <row r="1975">
          <cell r="C1975" t="str">
            <v>84001KE020</v>
          </cell>
          <cell r="D1975">
            <v>1</v>
          </cell>
          <cell r="E1975">
            <v>0</v>
          </cell>
          <cell r="F1975">
            <v>155</v>
          </cell>
          <cell r="G1975" t="str">
            <v>H/L</v>
          </cell>
          <cell r="H1975" t="str">
            <v>A190</v>
          </cell>
          <cell r="I1975">
            <v>0</v>
          </cell>
        </row>
        <row r="1976">
          <cell r="C1976" t="str">
            <v>84001KE030</v>
          </cell>
          <cell r="D1976">
            <v>1</v>
          </cell>
          <cell r="E1976">
            <v>0</v>
          </cell>
          <cell r="F1976">
            <v>155</v>
          </cell>
          <cell r="G1976" t="str">
            <v>H/L</v>
          </cell>
          <cell r="H1976" t="str">
            <v>A190</v>
          </cell>
          <cell r="I1976">
            <v>3000</v>
          </cell>
        </row>
        <row r="1977">
          <cell r="C1977" t="str">
            <v>84001KE030</v>
          </cell>
          <cell r="D1977">
            <v>1</v>
          </cell>
          <cell r="E1977">
            <v>0</v>
          </cell>
          <cell r="F1977">
            <v>155</v>
          </cell>
          <cell r="G1977" t="str">
            <v>H/L</v>
          </cell>
          <cell r="H1977" t="str">
            <v>A190</v>
          </cell>
          <cell r="I1977">
            <v>0</v>
          </cell>
        </row>
        <row r="1978">
          <cell r="C1978" t="str">
            <v>84201KE020</v>
          </cell>
          <cell r="D1978">
            <v>1</v>
          </cell>
          <cell r="E1978">
            <v>0</v>
          </cell>
          <cell r="F1978">
            <v>214</v>
          </cell>
          <cell r="G1978" t="str">
            <v>RC/L</v>
          </cell>
          <cell r="H1978" t="str">
            <v>B000</v>
          </cell>
          <cell r="I1978">
            <v>0</v>
          </cell>
        </row>
        <row r="1979">
          <cell r="C1979" t="str">
            <v>84201KE020IR</v>
          </cell>
          <cell r="D1979">
            <v>1</v>
          </cell>
          <cell r="E1979">
            <v>0</v>
          </cell>
          <cell r="F1979">
            <v>214</v>
          </cell>
          <cell r="G1979" t="str">
            <v>RC/L</v>
          </cell>
          <cell r="H1979" t="str">
            <v>B000</v>
          </cell>
          <cell r="I1979">
            <v>1000</v>
          </cell>
        </row>
        <row r="1980">
          <cell r="C1980" t="str">
            <v>84201KE020IR</v>
          </cell>
          <cell r="D1980">
            <v>1</v>
          </cell>
          <cell r="E1980">
            <v>0</v>
          </cell>
          <cell r="F1980">
            <v>214</v>
          </cell>
          <cell r="G1980" t="str">
            <v>RC/L</v>
          </cell>
          <cell r="H1980" t="str">
            <v>B040</v>
          </cell>
          <cell r="I1980">
            <v>0</v>
          </cell>
        </row>
        <row r="1981">
          <cell r="C1981" t="str">
            <v>84201KE020MK</v>
          </cell>
          <cell r="D1981">
            <v>1</v>
          </cell>
          <cell r="E1981">
            <v>0</v>
          </cell>
          <cell r="F1981">
            <v>214</v>
          </cell>
          <cell r="G1981" t="str">
            <v>RC/L</v>
          </cell>
          <cell r="H1981" t="str">
            <v>B000</v>
          </cell>
          <cell r="I1981">
            <v>1000</v>
          </cell>
        </row>
        <row r="1982">
          <cell r="C1982" t="str">
            <v>84201KE020MK</v>
          </cell>
          <cell r="D1982">
            <v>1</v>
          </cell>
          <cell r="E1982">
            <v>0</v>
          </cell>
          <cell r="F1982">
            <v>214</v>
          </cell>
          <cell r="G1982" t="str">
            <v>RC/L</v>
          </cell>
          <cell r="H1982" t="str">
            <v>B040</v>
          </cell>
          <cell r="I1982">
            <v>0</v>
          </cell>
        </row>
        <row r="1983">
          <cell r="C1983" t="str">
            <v>84201KE020MM</v>
          </cell>
          <cell r="D1983">
            <v>1</v>
          </cell>
          <cell r="E1983">
            <v>0</v>
          </cell>
          <cell r="F1983">
            <v>214</v>
          </cell>
          <cell r="G1983" t="str">
            <v>RC/L</v>
          </cell>
          <cell r="H1983" t="str">
            <v>B000</v>
          </cell>
          <cell r="I1983">
            <v>1000</v>
          </cell>
        </row>
        <row r="1984">
          <cell r="C1984" t="str">
            <v>84201KE020MM</v>
          </cell>
          <cell r="D1984">
            <v>1</v>
          </cell>
          <cell r="E1984">
            <v>0</v>
          </cell>
          <cell r="F1984">
            <v>214</v>
          </cell>
          <cell r="G1984" t="str">
            <v>RC/L</v>
          </cell>
          <cell r="H1984" t="str">
            <v>B040</v>
          </cell>
          <cell r="I1984">
            <v>0</v>
          </cell>
        </row>
        <row r="1985">
          <cell r="C1985" t="str">
            <v>84201KE020WG</v>
          </cell>
          <cell r="D1985">
            <v>1</v>
          </cell>
          <cell r="E1985">
            <v>0</v>
          </cell>
          <cell r="F1985">
            <v>214</v>
          </cell>
          <cell r="G1985" t="str">
            <v>RC/L</v>
          </cell>
          <cell r="H1985" t="str">
            <v>B000</v>
          </cell>
          <cell r="I1985">
            <v>500</v>
          </cell>
        </row>
        <row r="1986">
          <cell r="C1986" t="str">
            <v>84201KE020WG</v>
          </cell>
          <cell r="D1986">
            <v>1</v>
          </cell>
          <cell r="E1986">
            <v>0</v>
          </cell>
          <cell r="F1986">
            <v>214</v>
          </cell>
          <cell r="G1986" t="str">
            <v>RC/L</v>
          </cell>
          <cell r="H1986" t="str">
            <v>B040</v>
          </cell>
          <cell r="I1986">
            <v>0</v>
          </cell>
        </row>
        <row r="1987">
          <cell r="C1987" t="str">
            <v>84201KE030</v>
          </cell>
          <cell r="D1987">
            <v>1</v>
          </cell>
          <cell r="E1987">
            <v>0</v>
          </cell>
          <cell r="F1987">
            <v>214</v>
          </cell>
          <cell r="G1987" t="str">
            <v>RC/L</v>
          </cell>
          <cell r="H1987" t="str">
            <v>B000</v>
          </cell>
          <cell r="I1987">
            <v>0</v>
          </cell>
        </row>
        <row r="1988">
          <cell r="C1988" t="str">
            <v>84201KE030IR</v>
          </cell>
          <cell r="D1988">
            <v>1</v>
          </cell>
          <cell r="E1988">
            <v>0</v>
          </cell>
          <cell r="F1988">
            <v>214</v>
          </cell>
          <cell r="G1988" t="str">
            <v>RC/L</v>
          </cell>
          <cell r="H1988" t="str">
            <v>B000</v>
          </cell>
          <cell r="I1988">
            <v>1000</v>
          </cell>
        </row>
        <row r="1989">
          <cell r="C1989" t="str">
            <v>84201KE030IR</v>
          </cell>
          <cell r="D1989">
            <v>1</v>
          </cell>
          <cell r="E1989">
            <v>0</v>
          </cell>
          <cell r="F1989">
            <v>214</v>
          </cell>
          <cell r="G1989" t="str">
            <v>RC/L</v>
          </cell>
          <cell r="H1989" t="str">
            <v>B040</v>
          </cell>
          <cell r="I1989">
            <v>0</v>
          </cell>
        </row>
        <row r="1990">
          <cell r="C1990" t="str">
            <v>84201KE030MK</v>
          </cell>
          <cell r="D1990">
            <v>1</v>
          </cell>
          <cell r="E1990">
            <v>0</v>
          </cell>
          <cell r="F1990">
            <v>214</v>
          </cell>
          <cell r="G1990" t="str">
            <v>RC/L</v>
          </cell>
          <cell r="H1990" t="str">
            <v>B000</v>
          </cell>
          <cell r="I1990">
            <v>1000</v>
          </cell>
        </row>
        <row r="1991">
          <cell r="C1991" t="str">
            <v>84201KE030MK</v>
          </cell>
          <cell r="D1991">
            <v>1</v>
          </cell>
          <cell r="E1991">
            <v>0</v>
          </cell>
          <cell r="F1991">
            <v>214</v>
          </cell>
          <cell r="G1991" t="str">
            <v>RC/L</v>
          </cell>
          <cell r="H1991" t="str">
            <v>B040</v>
          </cell>
          <cell r="I1991">
            <v>0</v>
          </cell>
        </row>
        <row r="1992">
          <cell r="C1992" t="str">
            <v>84201KE030MM</v>
          </cell>
          <cell r="D1992">
            <v>1</v>
          </cell>
          <cell r="E1992">
            <v>0</v>
          </cell>
          <cell r="F1992">
            <v>214</v>
          </cell>
          <cell r="G1992" t="str">
            <v>RC/L</v>
          </cell>
          <cell r="H1992" t="str">
            <v>B000</v>
          </cell>
          <cell r="I1992">
            <v>1000</v>
          </cell>
        </row>
        <row r="1993">
          <cell r="C1993" t="str">
            <v>84201KE030MM</v>
          </cell>
          <cell r="D1993">
            <v>1</v>
          </cell>
          <cell r="E1993">
            <v>0</v>
          </cell>
          <cell r="F1993">
            <v>214</v>
          </cell>
          <cell r="G1993" t="str">
            <v>RC/L</v>
          </cell>
          <cell r="H1993" t="str">
            <v>B040</v>
          </cell>
          <cell r="I1993">
            <v>0</v>
          </cell>
        </row>
        <row r="1994">
          <cell r="C1994" t="str">
            <v>84201KE030WG</v>
          </cell>
          <cell r="D1994">
            <v>1</v>
          </cell>
          <cell r="E1994">
            <v>0</v>
          </cell>
          <cell r="F1994">
            <v>214</v>
          </cell>
          <cell r="G1994" t="str">
            <v>RC/L</v>
          </cell>
          <cell r="H1994" t="str">
            <v>B000</v>
          </cell>
          <cell r="I1994">
            <v>500</v>
          </cell>
        </row>
        <row r="1995">
          <cell r="C1995" t="str">
            <v>84201KE030WG</v>
          </cell>
          <cell r="D1995">
            <v>1</v>
          </cell>
          <cell r="E1995">
            <v>0</v>
          </cell>
          <cell r="F1995">
            <v>214</v>
          </cell>
          <cell r="G1995" t="str">
            <v>RC/L</v>
          </cell>
          <cell r="H1995" t="str">
            <v>B040</v>
          </cell>
          <cell r="I1995">
            <v>0</v>
          </cell>
        </row>
        <row r="1996">
          <cell r="C1996" t="str">
            <v>84912KE110</v>
          </cell>
          <cell r="D1996">
            <v>1</v>
          </cell>
          <cell r="E1996">
            <v>0</v>
          </cell>
          <cell r="F1996">
            <v>155</v>
          </cell>
          <cell r="G1996" t="str">
            <v>LENS&amp;B</v>
          </cell>
          <cell r="H1996" t="str">
            <v>A199</v>
          </cell>
          <cell r="I1996">
            <v>0</v>
          </cell>
        </row>
        <row r="1997">
          <cell r="C1997" t="str">
            <v>84912KE120</v>
          </cell>
          <cell r="D1997">
            <v>1</v>
          </cell>
          <cell r="E1997">
            <v>0</v>
          </cell>
          <cell r="F1997">
            <v>155</v>
          </cell>
          <cell r="G1997" t="str">
            <v>LENS&amp;B</v>
          </cell>
          <cell r="H1997" t="str">
            <v>A199</v>
          </cell>
          <cell r="I1997">
            <v>0</v>
          </cell>
        </row>
        <row r="1998">
          <cell r="C1998" t="str">
            <v>84912KE170</v>
          </cell>
          <cell r="D1998">
            <v>1</v>
          </cell>
          <cell r="E1998">
            <v>0</v>
          </cell>
          <cell r="F1998">
            <v>214</v>
          </cell>
          <cell r="G1998" t="str">
            <v>LENS&amp;B</v>
          </cell>
          <cell r="H1998" t="str">
            <v>B041</v>
          </cell>
          <cell r="I1998">
            <v>0</v>
          </cell>
        </row>
        <row r="1999">
          <cell r="C1999" t="str">
            <v>84912KE180</v>
          </cell>
          <cell r="D1999">
            <v>1</v>
          </cell>
          <cell r="E1999">
            <v>0</v>
          </cell>
          <cell r="F1999">
            <v>214</v>
          </cell>
          <cell r="G1999" t="str">
            <v>LENS&amp;B</v>
          </cell>
          <cell r="H1999" t="str">
            <v>B041</v>
          </cell>
          <cell r="I1999">
            <v>0</v>
          </cell>
        </row>
        <row r="2000">
          <cell r="C2000" t="str">
            <v>84920KE000</v>
          </cell>
          <cell r="D2000">
            <v>1</v>
          </cell>
          <cell r="E2000">
            <v>0</v>
          </cell>
          <cell r="F2000">
            <v>155</v>
          </cell>
          <cell r="G2000" t="str">
            <v>B00T</v>
          </cell>
          <cell r="H2000" t="str">
            <v>A199</v>
          </cell>
          <cell r="I2000">
            <v>0</v>
          </cell>
        </row>
        <row r="2001">
          <cell r="C2001" t="str">
            <v>84930FC020</v>
          </cell>
          <cell r="D2001">
            <v>1</v>
          </cell>
          <cell r="E2001">
            <v>0</v>
          </cell>
          <cell r="F2001">
            <v>155</v>
          </cell>
          <cell r="G2001" t="str">
            <v>S0CKET</v>
          </cell>
          <cell r="H2001" t="str">
            <v>A199</v>
          </cell>
          <cell r="I2001">
            <v>0</v>
          </cell>
        </row>
        <row r="2002">
          <cell r="C2002" t="str">
            <v>84931KE050</v>
          </cell>
          <cell r="D2002">
            <v>1</v>
          </cell>
          <cell r="E2002">
            <v>0</v>
          </cell>
          <cell r="F2002">
            <v>214</v>
          </cell>
          <cell r="G2002" t="str">
            <v>S0CKET</v>
          </cell>
          <cell r="H2002" t="str">
            <v>B049</v>
          </cell>
          <cell r="I2002">
            <v>0</v>
          </cell>
        </row>
        <row r="2003">
          <cell r="C2003" t="str">
            <v>84931KE060</v>
          </cell>
          <cell r="D2003">
            <v>2</v>
          </cell>
          <cell r="E2003">
            <v>0</v>
          </cell>
          <cell r="F2003">
            <v>214</v>
          </cell>
          <cell r="G2003" t="str">
            <v>S0CKET</v>
          </cell>
          <cell r="H2003" t="str">
            <v>B049</v>
          </cell>
          <cell r="I2003">
            <v>0</v>
          </cell>
        </row>
        <row r="2004">
          <cell r="C2004" t="str">
            <v>91031KE060</v>
          </cell>
          <cell r="D2004">
            <v>1</v>
          </cell>
          <cell r="E2004">
            <v>0</v>
          </cell>
          <cell r="F2004">
            <v>513</v>
          </cell>
          <cell r="G2004" t="str">
            <v>D/M</v>
          </cell>
          <cell r="H2004" t="str">
            <v>G150</v>
          </cell>
          <cell r="I2004">
            <v>2500</v>
          </cell>
        </row>
        <row r="2005">
          <cell r="C2005" t="str">
            <v>91031KE070</v>
          </cell>
          <cell r="D2005">
            <v>1</v>
          </cell>
          <cell r="E2005">
            <v>0</v>
          </cell>
          <cell r="F2005">
            <v>513</v>
          </cell>
          <cell r="G2005" t="str">
            <v>D/M</v>
          </cell>
          <cell r="H2005" t="str">
            <v>G150</v>
          </cell>
          <cell r="I2005">
            <v>2500</v>
          </cell>
        </row>
        <row r="2006">
          <cell r="C2006" t="str">
            <v>91031KE080</v>
          </cell>
          <cell r="D2006">
            <v>1</v>
          </cell>
          <cell r="E2006">
            <v>0</v>
          </cell>
          <cell r="F2006">
            <v>513</v>
          </cell>
          <cell r="G2006" t="str">
            <v>D/M</v>
          </cell>
          <cell r="H2006" t="str">
            <v>G220</v>
          </cell>
          <cell r="I2006">
            <v>500</v>
          </cell>
        </row>
        <row r="2007">
          <cell r="C2007" t="str">
            <v>91031KE090</v>
          </cell>
          <cell r="D2007">
            <v>1</v>
          </cell>
          <cell r="E2007">
            <v>0</v>
          </cell>
          <cell r="F2007">
            <v>513</v>
          </cell>
          <cell r="G2007" t="str">
            <v>D/M</v>
          </cell>
          <cell r="H2007" t="str">
            <v>G220</v>
          </cell>
          <cell r="I2007">
            <v>500</v>
          </cell>
        </row>
        <row r="2008">
          <cell r="C2008" t="str">
            <v>91031KE140</v>
          </cell>
          <cell r="D2008">
            <v>2</v>
          </cell>
          <cell r="E2008">
            <v>0</v>
          </cell>
          <cell r="F2008">
            <v>513</v>
          </cell>
          <cell r="G2008" t="str">
            <v>D/M</v>
          </cell>
          <cell r="H2008" t="str">
            <v>G160</v>
          </cell>
          <cell r="I2008">
            <v>900</v>
          </cell>
        </row>
        <row r="2009">
          <cell r="C2009" t="str">
            <v>91031KE140</v>
          </cell>
          <cell r="D2009">
            <v>2</v>
          </cell>
          <cell r="E2009">
            <v>0</v>
          </cell>
          <cell r="F2009">
            <v>513</v>
          </cell>
          <cell r="G2009" t="str">
            <v>D/M</v>
          </cell>
          <cell r="H2009" t="str">
            <v>G160</v>
          </cell>
          <cell r="I2009">
            <v>0</v>
          </cell>
        </row>
        <row r="2010">
          <cell r="C2010" t="str">
            <v>91031KE150</v>
          </cell>
          <cell r="D2010">
            <v>2</v>
          </cell>
          <cell r="E2010">
            <v>0</v>
          </cell>
          <cell r="F2010">
            <v>513</v>
          </cell>
          <cell r="G2010" t="str">
            <v>D/M</v>
          </cell>
          <cell r="H2010" t="str">
            <v>G160</v>
          </cell>
          <cell r="I2010">
            <v>900</v>
          </cell>
        </row>
        <row r="2011">
          <cell r="C2011" t="str">
            <v>91031KE150</v>
          </cell>
          <cell r="D2011">
            <v>2</v>
          </cell>
          <cell r="E2011">
            <v>0</v>
          </cell>
          <cell r="F2011">
            <v>513</v>
          </cell>
          <cell r="G2011" t="str">
            <v>D/M</v>
          </cell>
          <cell r="H2011" t="str">
            <v>G160</v>
          </cell>
          <cell r="I2011">
            <v>0</v>
          </cell>
        </row>
        <row r="2012">
          <cell r="C2012" t="str">
            <v>91031KE160</v>
          </cell>
          <cell r="D2012">
            <v>2</v>
          </cell>
          <cell r="E2012">
            <v>0</v>
          </cell>
          <cell r="F2012">
            <v>513</v>
          </cell>
          <cell r="G2012" t="str">
            <v>D/M</v>
          </cell>
          <cell r="H2012" t="str">
            <v>G230</v>
          </cell>
          <cell r="I2012">
            <v>100</v>
          </cell>
        </row>
        <row r="2013">
          <cell r="C2013" t="str">
            <v>91031KE160</v>
          </cell>
          <cell r="D2013">
            <v>2</v>
          </cell>
          <cell r="E2013">
            <v>0</v>
          </cell>
          <cell r="F2013">
            <v>513</v>
          </cell>
          <cell r="G2013" t="str">
            <v>D/M</v>
          </cell>
          <cell r="H2013" t="str">
            <v>G230</v>
          </cell>
          <cell r="I2013">
            <v>0</v>
          </cell>
        </row>
        <row r="2014">
          <cell r="C2014" t="str">
            <v>91031KE170</v>
          </cell>
          <cell r="D2014">
            <v>2</v>
          </cell>
          <cell r="E2014">
            <v>0</v>
          </cell>
          <cell r="F2014">
            <v>513</v>
          </cell>
          <cell r="G2014" t="str">
            <v>D/M</v>
          </cell>
          <cell r="H2014" t="str">
            <v>G230</v>
          </cell>
          <cell r="I2014">
            <v>100</v>
          </cell>
        </row>
        <row r="2015">
          <cell r="C2015" t="str">
            <v>91031KE170</v>
          </cell>
          <cell r="D2015">
            <v>2</v>
          </cell>
          <cell r="E2015">
            <v>0</v>
          </cell>
          <cell r="F2015">
            <v>513</v>
          </cell>
          <cell r="G2015" t="str">
            <v>D/M</v>
          </cell>
          <cell r="H2015" t="str">
            <v>G230</v>
          </cell>
          <cell r="I2015">
            <v>0</v>
          </cell>
        </row>
        <row r="2016">
          <cell r="C2016" t="str">
            <v>84001FC220</v>
          </cell>
          <cell r="D2016">
            <v>1</v>
          </cell>
          <cell r="E2016">
            <v>0</v>
          </cell>
          <cell r="F2016">
            <v>155</v>
          </cell>
          <cell r="G2016" t="str">
            <v>H/L</v>
          </cell>
          <cell r="H2016" t="str">
            <v>A310</v>
          </cell>
          <cell r="I2016">
            <v>2000</v>
          </cell>
        </row>
        <row r="2017">
          <cell r="C2017" t="str">
            <v>84001FC220</v>
          </cell>
          <cell r="D2017">
            <v>1</v>
          </cell>
          <cell r="E2017">
            <v>0</v>
          </cell>
          <cell r="F2017">
            <v>155</v>
          </cell>
          <cell r="G2017" t="str">
            <v>H/L</v>
          </cell>
          <cell r="H2017" t="str">
            <v>A310</v>
          </cell>
          <cell r="I2017">
            <v>2000</v>
          </cell>
        </row>
        <row r="2018">
          <cell r="C2018" t="str">
            <v>84001FC230</v>
          </cell>
          <cell r="D2018">
            <v>1</v>
          </cell>
          <cell r="E2018">
            <v>0</v>
          </cell>
          <cell r="F2018">
            <v>155</v>
          </cell>
          <cell r="G2018" t="str">
            <v>H/L</v>
          </cell>
          <cell r="H2018" t="str">
            <v>A310</v>
          </cell>
          <cell r="I2018">
            <v>2000</v>
          </cell>
        </row>
        <row r="2019">
          <cell r="C2019" t="str">
            <v>84001FC230</v>
          </cell>
          <cell r="D2019">
            <v>1</v>
          </cell>
          <cell r="E2019">
            <v>0</v>
          </cell>
          <cell r="F2019">
            <v>155</v>
          </cell>
          <cell r="G2019" t="str">
            <v>H/L</v>
          </cell>
          <cell r="H2019" t="str">
            <v>A310</v>
          </cell>
          <cell r="I2019">
            <v>2000</v>
          </cell>
        </row>
        <row r="2020">
          <cell r="C2020" t="str">
            <v>84001FC240</v>
          </cell>
          <cell r="D2020">
            <v>1</v>
          </cell>
          <cell r="E2020">
            <v>0</v>
          </cell>
          <cell r="F2020">
            <v>155</v>
          </cell>
          <cell r="G2020" t="str">
            <v>H/L</v>
          </cell>
          <cell r="H2020" t="str">
            <v>A310</v>
          </cell>
          <cell r="I2020">
            <v>2000</v>
          </cell>
        </row>
        <row r="2021">
          <cell r="C2021" t="str">
            <v>84001FC240</v>
          </cell>
          <cell r="D2021">
            <v>1</v>
          </cell>
          <cell r="E2021">
            <v>0</v>
          </cell>
          <cell r="F2021">
            <v>155</v>
          </cell>
          <cell r="G2021" t="str">
            <v>H/L</v>
          </cell>
          <cell r="H2021" t="str">
            <v>A310</v>
          </cell>
          <cell r="I2021">
            <v>2000</v>
          </cell>
        </row>
        <row r="2022">
          <cell r="C2022" t="str">
            <v>84001FC250</v>
          </cell>
          <cell r="D2022">
            <v>1</v>
          </cell>
          <cell r="E2022">
            <v>0</v>
          </cell>
          <cell r="F2022">
            <v>155</v>
          </cell>
          <cell r="G2022" t="str">
            <v>H/L</v>
          </cell>
          <cell r="H2022" t="str">
            <v>A310</v>
          </cell>
          <cell r="I2022">
            <v>2000</v>
          </cell>
        </row>
        <row r="2023">
          <cell r="C2023" t="str">
            <v>84001FC250</v>
          </cell>
          <cell r="D2023">
            <v>1</v>
          </cell>
          <cell r="E2023">
            <v>0</v>
          </cell>
          <cell r="F2023">
            <v>155</v>
          </cell>
          <cell r="G2023" t="str">
            <v>H/L</v>
          </cell>
          <cell r="H2023" t="str">
            <v>A310</v>
          </cell>
          <cell r="I2023">
            <v>2000</v>
          </cell>
        </row>
        <row r="2024">
          <cell r="C2024" t="str">
            <v>84001FC260</v>
          </cell>
          <cell r="D2024">
            <v>1</v>
          </cell>
          <cell r="E2024">
            <v>0</v>
          </cell>
          <cell r="F2024">
            <v>155</v>
          </cell>
          <cell r="G2024" t="str">
            <v>H/L</v>
          </cell>
          <cell r="H2024" t="str">
            <v>A310</v>
          </cell>
          <cell r="I2024">
            <v>400</v>
          </cell>
        </row>
        <row r="2025">
          <cell r="C2025" t="str">
            <v>84001FC260</v>
          </cell>
          <cell r="D2025">
            <v>1</v>
          </cell>
          <cell r="E2025">
            <v>0</v>
          </cell>
          <cell r="F2025">
            <v>155</v>
          </cell>
          <cell r="G2025" t="str">
            <v>H/L</v>
          </cell>
          <cell r="H2025" t="str">
            <v>A310</v>
          </cell>
          <cell r="I2025">
            <v>400</v>
          </cell>
        </row>
        <row r="2026">
          <cell r="C2026" t="str">
            <v>84001FC270</v>
          </cell>
          <cell r="D2026">
            <v>1</v>
          </cell>
          <cell r="E2026">
            <v>0</v>
          </cell>
          <cell r="F2026">
            <v>155</v>
          </cell>
          <cell r="G2026" t="str">
            <v>H/L</v>
          </cell>
          <cell r="H2026" t="str">
            <v>A310</v>
          </cell>
          <cell r="I2026">
            <v>400</v>
          </cell>
        </row>
        <row r="2027">
          <cell r="C2027" t="str">
            <v>84001FC270</v>
          </cell>
          <cell r="D2027">
            <v>1</v>
          </cell>
          <cell r="E2027">
            <v>0</v>
          </cell>
          <cell r="F2027">
            <v>155</v>
          </cell>
          <cell r="G2027" t="str">
            <v>H/L</v>
          </cell>
          <cell r="H2027" t="str">
            <v>A310</v>
          </cell>
          <cell r="I2027">
            <v>400</v>
          </cell>
        </row>
        <row r="2028">
          <cell r="C2028" t="str">
            <v>84001FC280</v>
          </cell>
          <cell r="D2028">
            <v>1</v>
          </cell>
          <cell r="E2028">
            <v>0</v>
          </cell>
          <cell r="F2028">
            <v>155</v>
          </cell>
          <cell r="G2028" t="str">
            <v>H/L</v>
          </cell>
          <cell r="H2028" t="str">
            <v>A310</v>
          </cell>
          <cell r="I2028">
            <v>300</v>
          </cell>
        </row>
        <row r="2029">
          <cell r="C2029" t="str">
            <v>84001FC280</v>
          </cell>
          <cell r="D2029">
            <v>1</v>
          </cell>
          <cell r="E2029">
            <v>0</v>
          </cell>
          <cell r="F2029">
            <v>155</v>
          </cell>
          <cell r="G2029" t="str">
            <v>H/L</v>
          </cell>
          <cell r="H2029" t="str">
            <v>A310</v>
          </cell>
          <cell r="I2029">
            <v>300</v>
          </cell>
        </row>
        <row r="2030">
          <cell r="C2030" t="str">
            <v>84001FC290</v>
          </cell>
          <cell r="D2030">
            <v>1</v>
          </cell>
          <cell r="E2030">
            <v>0</v>
          </cell>
          <cell r="F2030">
            <v>155</v>
          </cell>
          <cell r="G2030" t="str">
            <v>H/L</v>
          </cell>
          <cell r="H2030" t="str">
            <v>A310</v>
          </cell>
          <cell r="I2030">
            <v>300</v>
          </cell>
        </row>
        <row r="2031">
          <cell r="C2031" t="str">
            <v>84001FC290</v>
          </cell>
          <cell r="D2031">
            <v>1</v>
          </cell>
          <cell r="E2031">
            <v>0</v>
          </cell>
          <cell r="F2031">
            <v>155</v>
          </cell>
          <cell r="G2031" t="str">
            <v>H/L</v>
          </cell>
          <cell r="H2031" t="str">
            <v>A310</v>
          </cell>
          <cell r="I2031">
            <v>300</v>
          </cell>
        </row>
        <row r="2032">
          <cell r="C2032" t="str">
            <v>84001FC300</v>
          </cell>
          <cell r="D2032">
            <v>1</v>
          </cell>
          <cell r="E2032">
            <v>0</v>
          </cell>
          <cell r="F2032">
            <v>155</v>
          </cell>
          <cell r="G2032" t="str">
            <v>H/L</v>
          </cell>
          <cell r="H2032" t="str">
            <v>A310</v>
          </cell>
          <cell r="I2032">
            <v>300</v>
          </cell>
        </row>
        <row r="2033">
          <cell r="C2033" t="str">
            <v>84001FC300</v>
          </cell>
          <cell r="D2033">
            <v>1</v>
          </cell>
          <cell r="E2033">
            <v>0</v>
          </cell>
          <cell r="F2033">
            <v>155</v>
          </cell>
          <cell r="G2033" t="str">
            <v>H/L</v>
          </cell>
          <cell r="H2033" t="str">
            <v>A310</v>
          </cell>
          <cell r="I2033">
            <v>300</v>
          </cell>
        </row>
        <row r="2034">
          <cell r="C2034" t="str">
            <v>84001FC310</v>
          </cell>
          <cell r="D2034">
            <v>1</v>
          </cell>
          <cell r="E2034">
            <v>0</v>
          </cell>
          <cell r="F2034">
            <v>155</v>
          </cell>
          <cell r="G2034" t="str">
            <v>H/L</v>
          </cell>
          <cell r="H2034" t="str">
            <v>A310</v>
          </cell>
          <cell r="I2034">
            <v>300</v>
          </cell>
        </row>
        <row r="2035">
          <cell r="C2035" t="str">
            <v>84001FC310</v>
          </cell>
          <cell r="D2035">
            <v>1</v>
          </cell>
          <cell r="E2035">
            <v>0</v>
          </cell>
          <cell r="F2035">
            <v>155</v>
          </cell>
          <cell r="G2035" t="str">
            <v>H/L</v>
          </cell>
          <cell r="H2035" t="str">
            <v>A310</v>
          </cell>
          <cell r="I2035">
            <v>300</v>
          </cell>
        </row>
        <row r="2036">
          <cell r="C2036" t="str">
            <v>84101FC040</v>
          </cell>
          <cell r="D2036">
            <v>1</v>
          </cell>
          <cell r="E2036">
            <v>0</v>
          </cell>
          <cell r="F2036">
            <v>415</v>
          </cell>
          <cell r="G2036" t="str">
            <v>FC/L</v>
          </cell>
          <cell r="H2036" t="str">
            <v>B100</v>
          </cell>
          <cell r="I2036">
            <v>2000</v>
          </cell>
        </row>
        <row r="2037">
          <cell r="C2037" t="str">
            <v>84101FC040</v>
          </cell>
          <cell r="D2037">
            <v>1</v>
          </cell>
          <cell r="E2037">
            <v>0</v>
          </cell>
          <cell r="F2037">
            <v>415</v>
          </cell>
          <cell r="G2037" t="str">
            <v>FC/L</v>
          </cell>
          <cell r="H2037" t="str">
            <v>B100</v>
          </cell>
          <cell r="I2037">
            <v>2000</v>
          </cell>
        </row>
        <row r="2038">
          <cell r="C2038" t="str">
            <v>84101FC050</v>
          </cell>
          <cell r="D2038">
            <v>1</v>
          </cell>
          <cell r="E2038">
            <v>0</v>
          </cell>
          <cell r="F2038">
            <v>415</v>
          </cell>
          <cell r="G2038" t="str">
            <v>FC/L</v>
          </cell>
          <cell r="H2038" t="str">
            <v>B100</v>
          </cell>
          <cell r="I2038">
            <v>2000</v>
          </cell>
        </row>
        <row r="2039">
          <cell r="C2039" t="str">
            <v>84101FC050</v>
          </cell>
          <cell r="D2039">
            <v>1</v>
          </cell>
          <cell r="E2039">
            <v>0</v>
          </cell>
          <cell r="F2039">
            <v>415</v>
          </cell>
          <cell r="G2039" t="str">
            <v>FC/L</v>
          </cell>
          <cell r="H2039" t="str">
            <v>B100</v>
          </cell>
          <cell r="I2039">
            <v>2000</v>
          </cell>
        </row>
        <row r="2040">
          <cell r="C2040" t="str">
            <v>84101FC060</v>
          </cell>
          <cell r="D2040">
            <v>1</v>
          </cell>
          <cell r="E2040">
            <v>0</v>
          </cell>
          <cell r="F2040">
            <v>415</v>
          </cell>
          <cell r="G2040" t="str">
            <v>FC/L</v>
          </cell>
          <cell r="H2040" t="str">
            <v>B100</v>
          </cell>
          <cell r="I2040">
            <v>3000</v>
          </cell>
        </row>
        <row r="2041">
          <cell r="C2041" t="str">
            <v>84101FC060</v>
          </cell>
          <cell r="D2041">
            <v>1</v>
          </cell>
          <cell r="E2041">
            <v>0</v>
          </cell>
          <cell r="F2041">
            <v>415</v>
          </cell>
          <cell r="G2041" t="str">
            <v>FC/L</v>
          </cell>
          <cell r="H2041" t="str">
            <v>B100</v>
          </cell>
          <cell r="I2041">
            <v>3000</v>
          </cell>
        </row>
        <row r="2042">
          <cell r="C2042" t="str">
            <v>84101FC070</v>
          </cell>
          <cell r="D2042">
            <v>1</v>
          </cell>
          <cell r="E2042">
            <v>0</v>
          </cell>
          <cell r="F2042">
            <v>415</v>
          </cell>
          <cell r="G2042" t="str">
            <v>FC/L</v>
          </cell>
          <cell r="H2042" t="str">
            <v>B100</v>
          </cell>
          <cell r="I2042">
            <v>3000</v>
          </cell>
        </row>
        <row r="2043">
          <cell r="C2043" t="str">
            <v>84101FC070</v>
          </cell>
          <cell r="D2043">
            <v>1</v>
          </cell>
          <cell r="E2043">
            <v>0</v>
          </cell>
          <cell r="F2043">
            <v>415</v>
          </cell>
          <cell r="G2043" t="str">
            <v>FC/L</v>
          </cell>
          <cell r="H2043" t="str">
            <v>B100</v>
          </cell>
          <cell r="I2043">
            <v>3000</v>
          </cell>
        </row>
        <row r="2044">
          <cell r="C2044" t="str">
            <v>91031FC500GF</v>
          </cell>
          <cell r="D2044">
            <v>2</v>
          </cell>
          <cell r="E2044">
            <v>0</v>
          </cell>
          <cell r="F2044">
            <v>513</v>
          </cell>
          <cell r="G2044" t="str">
            <v>D/M</v>
          </cell>
          <cell r="H2044" t="str">
            <v>G230</v>
          </cell>
          <cell r="I2044">
            <v>150</v>
          </cell>
        </row>
        <row r="2045">
          <cell r="C2045" t="str">
            <v>91031FC500QA</v>
          </cell>
          <cell r="D2045">
            <v>1</v>
          </cell>
          <cell r="E2045">
            <v>0</v>
          </cell>
          <cell r="F2045">
            <v>513</v>
          </cell>
          <cell r="G2045" t="str">
            <v>D/M</v>
          </cell>
          <cell r="H2045" t="str">
            <v>G230</v>
          </cell>
          <cell r="I2045">
            <v>150</v>
          </cell>
        </row>
        <row r="2046">
          <cell r="C2046" t="str">
            <v>91031FC500SJ</v>
          </cell>
          <cell r="D2046">
            <v>1</v>
          </cell>
          <cell r="E2046">
            <v>0</v>
          </cell>
          <cell r="F2046">
            <v>513</v>
          </cell>
          <cell r="G2046" t="str">
            <v>D/M</v>
          </cell>
          <cell r="H2046" t="str">
            <v>G230</v>
          </cell>
          <cell r="I2046">
            <v>150</v>
          </cell>
        </row>
        <row r="2047">
          <cell r="C2047" t="str">
            <v>91031FC500UV</v>
          </cell>
          <cell r="D2047">
            <v>2</v>
          </cell>
          <cell r="E2047">
            <v>0</v>
          </cell>
          <cell r="F2047">
            <v>513</v>
          </cell>
          <cell r="G2047" t="str">
            <v>D/M</v>
          </cell>
          <cell r="H2047" t="str">
            <v>G230</v>
          </cell>
          <cell r="I2047">
            <v>150</v>
          </cell>
        </row>
        <row r="2048">
          <cell r="C2048" t="str">
            <v>91031FC500UV</v>
          </cell>
          <cell r="D2048">
            <v>2</v>
          </cell>
          <cell r="E2048">
            <v>0</v>
          </cell>
          <cell r="F2048">
            <v>513</v>
          </cell>
          <cell r="G2048" t="str">
            <v>D/M</v>
          </cell>
          <cell r="H2048" t="str">
            <v>G230</v>
          </cell>
          <cell r="I2048">
            <v>150</v>
          </cell>
        </row>
        <row r="2049">
          <cell r="C2049" t="str">
            <v>91031FC500VF</v>
          </cell>
          <cell r="D2049">
            <v>1</v>
          </cell>
          <cell r="E2049">
            <v>0</v>
          </cell>
          <cell r="F2049">
            <v>513</v>
          </cell>
          <cell r="G2049" t="str">
            <v>D/M</v>
          </cell>
          <cell r="H2049" t="str">
            <v>G230</v>
          </cell>
          <cell r="I2049">
            <v>150</v>
          </cell>
        </row>
        <row r="2050">
          <cell r="C2050" t="str">
            <v>91031FC500WG</v>
          </cell>
          <cell r="D2050">
            <v>1</v>
          </cell>
          <cell r="E2050">
            <v>0</v>
          </cell>
          <cell r="F2050">
            <v>513</v>
          </cell>
          <cell r="G2050" t="str">
            <v>D/M</v>
          </cell>
          <cell r="H2050" t="str">
            <v>G230</v>
          </cell>
          <cell r="I2050">
            <v>150</v>
          </cell>
        </row>
        <row r="2051">
          <cell r="C2051" t="str">
            <v>91031FC510GF</v>
          </cell>
          <cell r="D2051">
            <v>2</v>
          </cell>
          <cell r="E2051">
            <v>0</v>
          </cell>
          <cell r="F2051">
            <v>513</v>
          </cell>
          <cell r="G2051" t="str">
            <v>D/M</v>
          </cell>
          <cell r="H2051" t="str">
            <v>G230</v>
          </cell>
          <cell r="I2051">
            <v>150</v>
          </cell>
        </row>
        <row r="2052">
          <cell r="C2052" t="str">
            <v>91031FC510QA</v>
          </cell>
          <cell r="D2052">
            <v>1</v>
          </cell>
          <cell r="E2052">
            <v>0</v>
          </cell>
          <cell r="F2052">
            <v>513</v>
          </cell>
          <cell r="G2052" t="str">
            <v>D/M</v>
          </cell>
          <cell r="H2052" t="str">
            <v>G230</v>
          </cell>
          <cell r="I2052">
            <v>150</v>
          </cell>
        </row>
        <row r="2053">
          <cell r="C2053" t="str">
            <v>91031FC510SJ</v>
          </cell>
          <cell r="D2053">
            <v>1</v>
          </cell>
          <cell r="E2053">
            <v>0</v>
          </cell>
          <cell r="F2053">
            <v>513</v>
          </cell>
          <cell r="G2053" t="str">
            <v>D/M</v>
          </cell>
          <cell r="H2053" t="str">
            <v>G230</v>
          </cell>
          <cell r="I2053">
            <v>150</v>
          </cell>
        </row>
        <row r="2054">
          <cell r="C2054" t="str">
            <v>91031FC510UV</v>
          </cell>
          <cell r="D2054">
            <v>2</v>
          </cell>
          <cell r="E2054">
            <v>0</v>
          </cell>
          <cell r="F2054">
            <v>513</v>
          </cell>
          <cell r="G2054" t="str">
            <v>D/M</v>
          </cell>
          <cell r="H2054" t="str">
            <v>G230</v>
          </cell>
          <cell r="I2054">
            <v>150</v>
          </cell>
        </row>
        <row r="2055">
          <cell r="C2055" t="str">
            <v>91031FC510UV</v>
          </cell>
          <cell r="D2055">
            <v>2</v>
          </cell>
          <cell r="E2055">
            <v>0</v>
          </cell>
          <cell r="F2055">
            <v>513</v>
          </cell>
          <cell r="G2055" t="str">
            <v>D/M</v>
          </cell>
          <cell r="H2055" t="str">
            <v>G230</v>
          </cell>
          <cell r="I2055">
            <v>150</v>
          </cell>
        </row>
        <row r="2056">
          <cell r="C2056" t="str">
            <v>91031FC510VF</v>
          </cell>
          <cell r="D2056">
            <v>1</v>
          </cell>
          <cell r="E2056">
            <v>0</v>
          </cell>
          <cell r="F2056">
            <v>513</v>
          </cell>
          <cell r="G2056" t="str">
            <v>D/M</v>
          </cell>
          <cell r="H2056" t="str">
            <v>G230</v>
          </cell>
          <cell r="I2056">
            <v>150</v>
          </cell>
        </row>
        <row r="2057">
          <cell r="C2057" t="str">
            <v>91031FC510WG</v>
          </cell>
          <cell r="D2057">
            <v>1</v>
          </cell>
          <cell r="E2057">
            <v>0</v>
          </cell>
          <cell r="F2057">
            <v>513</v>
          </cell>
          <cell r="G2057" t="str">
            <v>D/M</v>
          </cell>
          <cell r="H2057" t="str">
            <v>G230</v>
          </cell>
          <cell r="I2057">
            <v>150</v>
          </cell>
        </row>
        <row r="2058">
          <cell r="C2058" t="str">
            <v>83313KE000</v>
          </cell>
          <cell r="D2058">
            <v>1</v>
          </cell>
          <cell r="E2058">
            <v>0</v>
          </cell>
          <cell r="F2058">
            <v>513</v>
          </cell>
          <cell r="G2058" t="str">
            <v>SW</v>
          </cell>
          <cell r="H2058" t="str">
            <v>G169</v>
          </cell>
          <cell r="I2058">
            <v>3000</v>
          </cell>
        </row>
        <row r="2059">
          <cell r="C2059" t="str">
            <v>83313KE000</v>
          </cell>
          <cell r="D2059">
            <v>1</v>
          </cell>
          <cell r="E2059">
            <v>0</v>
          </cell>
          <cell r="F2059">
            <v>513</v>
          </cell>
          <cell r="G2059" t="str">
            <v>SW</v>
          </cell>
          <cell r="H2059" t="str">
            <v>G169</v>
          </cell>
          <cell r="I2059">
            <v>0</v>
          </cell>
        </row>
        <row r="2060">
          <cell r="C2060" t="str">
            <v>91031KE100</v>
          </cell>
          <cell r="D2060">
            <v>2</v>
          </cell>
          <cell r="E2060">
            <v>0</v>
          </cell>
          <cell r="F2060">
            <v>513</v>
          </cell>
          <cell r="G2060" t="str">
            <v>D/M</v>
          </cell>
          <cell r="H2060" t="str">
            <v>G160</v>
          </cell>
          <cell r="I2060">
            <v>1800</v>
          </cell>
        </row>
        <row r="2061">
          <cell r="C2061" t="str">
            <v>91031KE100</v>
          </cell>
          <cell r="D2061">
            <v>2</v>
          </cell>
          <cell r="E2061">
            <v>0</v>
          </cell>
          <cell r="F2061">
            <v>513</v>
          </cell>
          <cell r="G2061" t="str">
            <v>D/M</v>
          </cell>
          <cell r="H2061" t="str">
            <v>G160</v>
          </cell>
          <cell r="I2061">
            <v>0</v>
          </cell>
        </row>
        <row r="2062">
          <cell r="C2062" t="str">
            <v>91031KE110</v>
          </cell>
          <cell r="D2062">
            <v>2</v>
          </cell>
          <cell r="E2062">
            <v>0</v>
          </cell>
          <cell r="F2062">
            <v>513</v>
          </cell>
          <cell r="G2062" t="str">
            <v>D/M</v>
          </cell>
          <cell r="H2062" t="str">
            <v>G160</v>
          </cell>
          <cell r="I2062">
            <v>1800</v>
          </cell>
        </row>
        <row r="2063">
          <cell r="C2063" t="str">
            <v>91031KE110</v>
          </cell>
          <cell r="D2063">
            <v>2</v>
          </cell>
          <cell r="E2063">
            <v>0</v>
          </cell>
          <cell r="F2063">
            <v>513</v>
          </cell>
          <cell r="G2063" t="str">
            <v>D/M</v>
          </cell>
          <cell r="H2063" t="str">
            <v>G160</v>
          </cell>
          <cell r="I2063">
            <v>0</v>
          </cell>
        </row>
        <row r="2064">
          <cell r="C2064" t="str">
            <v>91031KE120</v>
          </cell>
          <cell r="D2064">
            <v>2</v>
          </cell>
          <cell r="E2064">
            <v>0</v>
          </cell>
          <cell r="F2064">
            <v>513</v>
          </cell>
          <cell r="G2064" t="str">
            <v>D/M</v>
          </cell>
          <cell r="H2064" t="str">
            <v>G230</v>
          </cell>
          <cell r="I2064">
            <v>200</v>
          </cell>
        </row>
        <row r="2065">
          <cell r="C2065" t="str">
            <v>91031KE120</v>
          </cell>
          <cell r="D2065">
            <v>2</v>
          </cell>
          <cell r="E2065">
            <v>0</v>
          </cell>
          <cell r="F2065">
            <v>513</v>
          </cell>
          <cell r="G2065" t="str">
            <v>D/M</v>
          </cell>
          <cell r="H2065" t="str">
            <v>G230</v>
          </cell>
          <cell r="I2065">
            <v>0</v>
          </cell>
        </row>
        <row r="2066">
          <cell r="C2066" t="str">
            <v>91031KE130</v>
          </cell>
          <cell r="D2066">
            <v>2</v>
          </cell>
          <cell r="E2066">
            <v>0</v>
          </cell>
          <cell r="F2066">
            <v>513</v>
          </cell>
          <cell r="G2066" t="str">
            <v>D/M</v>
          </cell>
          <cell r="H2066" t="str">
            <v>G230</v>
          </cell>
          <cell r="I2066">
            <v>200</v>
          </cell>
        </row>
        <row r="2067">
          <cell r="C2067" t="str">
            <v>91031KE130</v>
          </cell>
          <cell r="D2067">
            <v>2</v>
          </cell>
          <cell r="E2067">
            <v>0</v>
          </cell>
          <cell r="F2067">
            <v>513</v>
          </cell>
          <cell r="G2067" t="str">
            <v>D/M</v>
          </cell>
          <cell r="H2067" t="str">
            <v>G230</v>
          </cell>
          <cell r="I2067">
            <v>0</v>
          </cell>
        </row>
        <row r="2068">
          <cell r="C2068" t="str">
            <v>B41DML</v>
          </cell>
          <cell r="D2068">
            <v>1</v>
          </cell>
          <cell r="E2068">
            <v>0</v>
          </cell>
          <cell r="F2068">
            <v>513</v>
          </cell>
          <cell r="G2068" t="str">
            <v>D/M</v>
          </cell>
          <cell r="H2068" t="str">
            <v>G160</v>
          </cell>
          <cell r="I2068">
            <v>0</v>
          </cell>
        </row>
        <row r="2069">
          <cell r="C2069" t="str">
            <v>B41DMR</v>
          </cell>
          <cell r="D2069">
            <v>1</v>
          </cell>
          <cell r="E2069">
            <v>0</v>
          </cell>
          <cell r="F2069">
            <v>513</v>
          </cell>
          <cell r="G2069" t="str">
            <v>D/M</v>
          </cell>
          <cell r="H2069" t="str">
            <v>G160</v>
          </cell>
          <cell r="I2069">
            <v>0</v>
          </cell>
        </row>
        <row r="2070">
          <cell r="C2070" t="str">
            <v>B41FIN</v>
          </cell>
          <cell r="D2070">
            <v>1</v>
          </cell>
          <cell r="E2070">
            <v>0</v>
          </cell>
          <cell r="F2070">
            <v>414</v>
          </cell>
          <cell r="G2070" t="str">
            <v>FIN</v>
          </cell>
          <cell r="H2070" t="str">
            <v>B070</v>
          </cell>
          <cell r="I2070">
            <v>0</v>
          </cell>
        </row>
        <row r="2071">
          <cell r="C2071" t="str">
            <v>B41GPM</v>
          </cell>
          <cell r="D2071">
            <v>1</v>
          </cell>
          <cell r="E2071">
            <v>0</v>
          </cell>
          <cell r="F2071">
            <v>563</v>
          </cell>
          <cell r="G2071" t="str">
            <v>GP/M</v>
          </cell>
          <cell r="H2071" t="str">
            <v>H100</v>
          </cell>
          <cell r="I2071">
            <v>0</v>
          </cell>
        </row>
        <row r="2072">
          <cell r="C2072" t="str">
            <v>B41RCLL</v>
          </cell>
          <cell r="D2072">
            <v>1</v>
          </cell>
          <cell r="E2072">
            <v>0</v>
          </cell>
          <cell r="F2072">
            <v>214</v>
          </cell>
          <cell r="G2072" t="str">
            <v>RC/L</v>
          </cell>
          <cell r="H2072" t="str">
            <v>B000</v>
          </cell>
          <cell r="I2072">
            <v>0</v>
          </cell>
        </row>
        <row r="2073">
          <cell r="C2073" t="str">
            <v>B41RCLR</v>
          </cell>
          <cell r="D2073">
            <v>1</v>
          </cell>
          <cell r="E2073">
            <v>0</v>
          </cell>
          <cell r="F2073">
            <v>214</v>
          </cell>
          <cell r="G2073" t="str">
            <v>RC/L</v>
          </cell>
          <cell r="H2073" t="str">
            <v>B000</v>
          </cell>
          <cell r="I2073">
            <v>0</v>
          </cell>
        </row>
        <row r="2074">
          <cell r="C2074" t="str">
            <v>265103J100</v>
          </cell>
          <cell r="D2074">
            <v>3</v>
          </cell>
          <cell r="E2074">
            <v>0</v>
          </cell>
          <cell r="F2074">
            <v>415</v>
          </cell>
          <cell r="G2074" t="str">
            <v>L/L</v>
          </cell>
          <cell r="H2074">
            <v>0</v>
          </cell>
          <cell r="I2074">
            <v>2600</v>
          </cell>
        </row>
        <row r="2075">
          <cell r="C2075" t="str">
            <v>26550AD700</v>
          </cell>
          <cell r="D2075">
            <v>1</v>
          </cell>
          <cell r="E2075">
            <v>0</v>
          </cell>
          <cell r="F2075">
            <v>214</v>
          </cell>
          <cell r="G2075" t="str">
            <v>RC/L</v>
          </cell>
          <cell r="H2075" t="str">
            <v>B000</v>
          </cell>
          <cell r="I2075">
            <v>2522</v>
          </cell>
        </row>
        <row r="2076">
          <cell r="C2076" t="str">
            <v>26550AD701</v>
          </cell>
          <cell r="D2076">
            <v>1</v>
          </cell>
          <cell r="E2076">
            <v>0</v>
          </cell>
          <cell r="F2076">
            <v>214</v>
          </cell>
          <cell r="G2076" t="str">
            <v>RC/L</v>
          </cell>
          <cell r="H2076" t="str">
            <v>B070</v>
          </cell>
          <cell r="I2076">
            <v>2522</v>
          </cell>
        </row>
        <row r="2077">
          <cell r="C2077" t="str">
            <v>26550AD704</v>
          </cell>
          <cell r="D2077">
            <v>1</v>
          </cell>
          <cell r="E2077">
            <v>0</v>
          </cell>
          <cell r="F2077">
            <v>214</v>
          </cell>
          <cell r="G2077" t="str">
            <v>RC/L</v>
          </cell>
          <cell r="H2077" t="str">
            <v>B000</v>
          </cell>
          <cell r="I2077">
            <v>78</v>
          </cell>
        </row>
        <row r="2078">
          <cell r="C2078" t="str">
            <v>26550AD705</v>
          </cell>
          <cell r="D2078">
            <v>1</v>
          </cell>
          <cell r="E2078">
            <v>0</v>
          </cell>
          <cell r="F2078">
            <v>214</v>
          </cell>
          <cell r="G2078" t="str">
            <v>RC/L</v>
          </cell>
          <cell r="H2078" t="str">
            <v>B070</v>
          </cell>
          <cell r="I2078">
            <v>78</v>
          </cell>
        </row>
        <row r="2079">
          <cell r="C2079" t="str">
            <v>26555AD700</v>
          </cell>
          <cell r="D2079">
            <v>1</v>
          </cell>
          <cell r="E2079">
            <v>0</v>
          </cell>
          <cell r="F2079">
            <v>214</v>
          </cell>
          <cell r="G2079" t="str">
            <v>RC/L</v>
          </cell>
          <cell r="H2079" t="str">
            <v>B000</v>
          </cell>
          <cell r="I2079">
            <v>2522</v>
          </cell>
        </row>
        <row r="2080">
          <cell r="C2080" t="str">
            <v>26555AD701</v>
          </cell>
          <cell r="D2080">
            <v>1</v>
          </cell>
          <cell r="E2080">
            <v>0</v>
          </cell>
          <cell r="F2080">
            <v>214</v>
          </cell>
          <cell r="G2080" t="str">
            <v>RC/L</v>
          </cell>
          <cell r="H2080" t="str">
            <v>B070</v>
          </cell>
          <cell r="I2080">
            <v>2522</v>
          </cell>
        </row>
        <row r="2081">
          <cell r="C2081" t="str">
            <v>26555AD704</v>
          </cell>
          <cell r="D2081">
            <v>1</v>
          </cell>
          <cell r="E2081">
            <v>0</v>
          </cell>
          <cell r="F2081">
            <v>214</v>
          </cell>
          <cell r="G2081" t="str">
            <v>RC/L</v>
          </cell>
          <cell r="H2081" t="str">
            <v>B000</v>
          </cell>
          <cell r="I2081">
            <v>78</v>
          </cell>
        </row>
        <row r="2082">
          <cell r="C2082" t="str">
            <v>26555AD705</v>
          </cell>
          <cell r="D2082">
            <v>1</v>
          </cell>
          <cell r="E2082">
            <v>0</v>
          </cell>
          <cell r="F2082">
            <v>214</v>
          </cell>
          <cell r="G2082" t="str">
            <v>RC/L</v>
          </cell>
          <cell r="H2082" t="str">
            <v>B070</v>
          </cell>
          <cell r="I2082">
            <v>78</v>
          </cell>
        </row>
        <row r="2083">
          <cell r="C2083" t="str">
            <v>26560AD700</v>
          </cell>
          <cell r="D2083">
            <v>1</v>
          </cell>
          <cell r="E2083">
            <v>0</v>
          </cell>
          <cell r="F2083">
            <v>414</v>
          </cell>
          <cell r="G2083" t="str">
            <v>R/R</v>
          </cell>
          <cell r="H2083" t="str">
            <v>C000</v>
          </cell>
          <cell r="I2083">
            <v>2600</v>
          </cell>
        </row>
        <row r="2084">
          <cell r="C2084" t="str">
            <v>26565AD700</v>
          </cell>
          <cell r="D2084">
            <v>1</v>
          </cell>
          <cell r="E2084">
            <v>0</v>
          </cell>
          <cell r="F2084">
            <v>414</v>
          </cell>
          <cell r="G2084" t="str">
            <v>R/R</v>
          </cell>
          <cell r="H2084" t="str">
            <v>C000</v>
          </cell>
          <cell r="I2084">
            <v>2600</v>
          </cell>
        </row>
        <row r="2085">
          <cell r="C2085" t="str">
            <v>90810AD700</v>
          </cell>
          <cell r="D2085">
            <v>1</v>
          </cell>
          <cell r="E2085">
            <v>0</v>
          </cell>
          <cell r="F2085">
            <v>714</v>
          </cell>
          <cell r="G2085" t="str">
            <v>F1N</v>
          </cell>
          <cell r="H2085" t="str">
            <v>P010</v>
          </cell>
          <cell r="I2085">
            <v>2600</v>
          </cell>
        </row>
        <row r="2086">
          <cell r="C2086" t="str">
            <v>96301AD268</v>
          </cell>
          <cell r="D2086">
            <v>1</v>
          </cell>
          <cell r="E2086">
            <v>0</v>
          </cell>
          <cell r="F2086">
            <v>513</v>
          </cell>
          <cell r="G2086" t="str">
            <v>D/M</v>
          </cell>
          <cell r="H2086" t="str">
            <v>G160</v>
          </cell>
          <cell r="I2086">
            <v>494</v>
          </cell>
        </row>
        <row r="2087">
          <cell r="C2087" t="str">
            <v>96301AD269</v>
          </cell>
          <cell r="D2087">
            <v>1</v>
          </cell>
          <cell r="E2087">
            <v>0</v>
          </cell>
          <cell r="F2087">
            <v>513</v>
          </cell>
          <cell r="G2087" t="str">
            <v>D/M</v>
          </cell>
          <cell r="H2087" t="str">
            <v>G160</v>
          </cell>
          <cell r="I2087">
            <v>494</v>
          </cell>
        </row>
        <row r="2088">
          <cell r="C2088" t="str">
            <v>96301AD270</v>
          </cell>
          <cell r="D2088">
            <v>1</v>
          </cell>
          <cell r="E2088">
            <v>0</v>
          </cell>
          <cell r="F2088">
            <v>513</v>
          </cell>
          <cell r="G2088" t="str">
            <v>D/M</v>
          </cell>
          <cell r="H2088" t="str">
            <v>G160</v>
          </cell>
          <cell r="I2088">
            <v>494</v>
          </cell>
        </row>
        <row r="2089">
          <cell r="C2089" t="str">
            <v>96301AD271</v>
          </cell>
          <cell r="D2089">
            <v>1</v>
          </cell>
          <cell r="E2089">
            <v>0</v>
          </cell>
          <cell r="F2089">
            <v>513</v>
          </cell>
          <cell r="G2089" t="str">
            <v>D/M</v>
          </cell>
          <cell r="H2089" t="str">
            <v>G160</v>
          </cell>
          <cell r="I2089">
            <v>494</v>
          </cell>
        </row>
        <row r="2090">
          <cell r="C2090" t="str">
            <v>96301AD272</v>
          </cell>
          <cell r="D2090">
            <v>1</v>
          </cell>
          <cell r="E2090">
            <v>0</v>
          </cell>
          <cell r="F2090">
            <v>513</v>
          </cell>
          <cell r="G2090" t="str">
            <v>D/M</v>
          </cell>
          <cell r="H2090" t="str">
            <v>G160</v>
          </cell>
          <cell r="I2090">
            <v>494</v>
          </cell>
        </row>
        <row r="2091">
          <cell r="C2091" t="str">
            <v>96301AD368</v>
          </cell>
          <cell r="D2091">
            <v>1</v>
          </cell>
          <cell r="E2091">
            <v>0</v>
          </cell>
          <cell r="F2091">
            <v>513</v>
          </cell>
          <cell r="G2091" t="str">
            <v>D/M</v>
          </cell>
          <cell r="H2091" t="str">
            <v>G230</v>
          </cell>
          <cell r="I2091">
            <v>26</v>
          </cell>
        </row>
        <row r="2092">
          <cell r="C2092" t="str">
            <v>96301AD369</v>
          </cell>
          <cell r="D2092">
            <v>1</v>
          </cell>
          <cell r="E2092">
            <v>0</v>
          </cell>
          <cell r="F2092">
            <v>513</v>
          </cell>
          <cell r="G2092" t="str">
            <v>D/M</v>
          </cell>
          <cell r="H2092" t="str">
            <v>G230</v>
          </cell>
          <cell r="I2092">
            <v>26</v>
          </cell>
        </row>
        <row r="2093">
          <cell r="C2093" t="str">
            <v>96301AD370</v>
          </cell>
          <cell r="D2093">
            <v>1</v>
          </cell>
          <cell r="E2093">
            <v>0</v>
          </cell>
          <cell r="F2093">
            <v>513</v>
          </cell>
          <cell r="G2093" t="str">
            <v>D/M</v>
          </cell>
          <cell r="H2093" t="str">
            <v>G230</v>
          </cell>
          <cell r="I2093">
            <v>26</v>
          </cell>
        </row>
        <row r="2094">
          <cell r="C2094" t="str">
            <v>96301AD371</v>
          </cell>
          <cell r="D2094">
            <v>1</v>
          </cell>
          <cell r="E2094">
            <v>0</v>
          </cell>
          <cell r="F2094">
            <v>513</v>
          </cell>
          <cell r="G2094" t="str">
            <v>D/M</v>
          </cell>
          <cell r="H2094" t="str">
            <v>G230</v>
          </cell>
          <cell r="I2094">
            <v>26</v>
          </cell>
        </row>
        <row r="2095">
          <cell r="C2095" t="str">
            <v>96301AD372</v>
          </cell>
          <cell r="D2095">
            <v>1</v>
          </cell>
          <cell r="E2095">
            <v>0</v>
          </cell>
          <cell r="F2095">
            <v>513</v>
          </cell>
          <cell r="G2095" t="str">
            <v>D/M</v>
          </cell>
          <cell r="H2095" t="str">
            <v>G230</v>
          </cell>
          <cell r="I2095">
            <v>26</v>
          </cell>
        </row>
        <row r="2096">
          <cell r="C2096" t="str">
            <v>96302AD268</v>
          </cell>
          <cell r="D2096">
            <v>1</v>
          </cell>
          <cell r="E2096">
            <v>0</v>
          </cell>
          <cell r="F2096">
            <v>513</v>
          </cell>
          <cell r="G2096" t="str">
            <v>D/M</v>
          </cell>
          <cell r="H2096" t="str">
            <v>G160</v>
          </cell>
          <cell r="I2096">
            <v>494</v>
          </cell>
        </row>
        <row r="2097">
          <cell r="C2097" t="str">
            <v>96302AD269</v>
          </cell>
          <cell r="D2097">
            <v>1</v>
          </cell>
          <cell r="E2097">
            <v>0</v>
          </cell>
          <cell r="F2097">
            <v>513</v>
          </cell>
          <cell r="G2097" t="str">
            <v>D/M</v>
          </cell>
          <cell r="H2097" t="str">
            <v>G160</v>
          </cell>
          <cell r="I2097">
            <v>494</v>
          </cell>
        </row>
        <row r="2098">
          <cell r="C2098" t="str">
            <v>96302AD270</v>
          </cell>
          <cell r="D2098">
            <v>1</v>
          </cell>
          <cell r="E2098">
            <v>0</v>
          </cell>
          <cell r="F2098">
            <v>513</v>
          </cell>
          <cell r="G2098" t="str">
            <v>D/M</v>
          </cell>
          <cell r="H2098" t="str">
            <v>G160</v>
          </cell>
          <cell r="I2098">
            <v>494</v>
          </cell>
        </row>
        <row r="2099">
          <cell r="C2099" t="str">
            <v>96302AD271</v>
          </cell>
          <cell r="D2099">
            <v>1</v>
          </cell>
          <cell r="E2099">
            <v>0</v>
          </cell>
          <cell r="F2099">
            <v>513</v>
          </cell>
          <cell r="G2099" t="str">
            <v>D/M</v>
          </cell>
          <cell r="H2099" t="str">
            <v>G160</v>
          </cell>
          <cell r="I2099">
            <v>494</v>
          </cell>
        </row>
        <row r="2100">
          <cell r="C2100" t="str">
            <v>96302AD272</v>
          </cell>
          <cell r="D2100">
            <v>1</v>
          </cell>
          <cell r="E2100">
            <v>0</v>
          </cell>
          <cell r="F2100">
            <v>513</v>
          </cell>
          <cell r="G2100" t="str">
            <v>D/M</v>
          </cell>
          <cell r="H2100" t="str">
            <v>G160</v>
          </cell>
          <cell r="I2100">
            <v>494</v>
          </cell>
        </row>
        <row r="2101">
          <cell r="C2101" t="str">
            <v>96302AD368</v>
          </cell>
          <cell r="D2101">
            <v>1</v>
          </cell>
          <cell r="E2101">
            <v>0</v>
          </cell>
          <cell r="F2101">
            <v>513</v>
          </cell>
          <cell r="G2101" t="str">
            <v>D/M</v>
          </cell>
          <cell r="H2101" t="str">
            <v>G160</v>
          </cell>
          <cell r="I2101">
            <v>26</v>
          </cell>
        </row>
        <row r="2102">
          <cell r="C2102" t="str">
            <v>96302AD369</v>
          </cell>
          <cell r="D2102">
            <v>1</v>
          </cell>
          <cell r="E2102">
            <v>0</v>
          </cell>
          <cell r="F2102">
            <v>513</v>
          </cell>
          <cell r="G2102" t="str">
            <v>D/M</v>
          </cell>
          <cell r="H2102" t="str">
            <v>G160</v>
          </cell>
          <cell r="I2102">
            <v>26</v>
          </cell>
        </row>
        <row r="2103">
          <cell r="C2103" t="str">
            <v>96302AD370</v>
          </cell>
          <cell r="D2103">
            <v>1</v>
          </cell>
          <cell r="E2103">
            <v>0</v>
          </cell>
          <cell r="F2103">
            <v>513</v>
          </cell>
          <cell r="G2103" t="str">
            <v>D/M</v>
          </cell>
          <cell r="H2103" t="str">
            <v>G160</v>
          </cell>
          <cell r="I2103">
            <v>26</v>
          </cell>
        </row>
        <row r="2104">
          <cell r="C2104" t="str">
            <v>96302AD371</v>
          </cell>
          <cell r="D2104">
            <v>1</v>
          </cell>
          <cell r="E2104">
            <v>0</v>
          </cell>
          <cell r="F2104">
            <v>513</v>
          </cell>
          <cell r="G2104" t="str">
            <v>D/M</v>
          </cell>
          <cell r="H2104" t="str">
            <v>G160</v>
          </cell>
          <cell r="I2104">
            <v>26</v>
          </cell>
        </row>
        <row r="2105">
          <cell r="C2105" t="str">
            <v>96302AD372</v>
          </cell>
          <cell r="D2105">
            <v>1</v>
          </cell>
          <cell r="E2105">
            <v>0</v>
          </cell>
          <cell r="F2105">
            <v>513</v>
          </cell>
          <cell r="G2105" t="str">
            <v>D/M</v>
          </cell>
          <cell r="H2105" t="str">
            <v>G160</v>
          </cell>
          <cell r="I2105">
            <v>26</v>
          </cell>
        </row>
        <row r="2106">
          <cell r="C2106" t="str">
            <v>96312AD208</v>
          </cell>
          <cell r="D2106">
            <v>1</v>
          </cell>
          <cell r="E2106">
            <v>0</v>
          </cell>
          <cell r="F2106">
            <v>513</v>
          </cell>
          <cell r="G2106" t="str">
            <v>C0VER</v>
          </cell>
          <cell r="H2106" t="str">
            <v>G169</v>
          </cell>
          <cell r="I2106">
            <v>520</v>
          </cell>
        </row>
        <row r="2107">
          <cell r="C2107" t="str">
            <v>96312AD209</v>
          </cell>
          <cell r="D2107">
            <v>1</v>
          </cell>
          <cell r="E2107">
            <v>0</v>
          </cell>
          <cell r="F2107">
            <v>513</v>
          </cell>
          <cell r="G2107" t="str">
            <v>C0VER</v>
          </cell>
          <cell r="H2107" t="str">
            <v>G169</v>
          </cell>
          <cell r="I2107">
            <v>520</v>
          </cell>
        </row>
        <row r="2108">
          <cell r="C2108" t="str">
            <v>96312AD210</v>
          </cell>
          <cell r="D2108">
            <v>1</v>
          </cell>
          <cell r="E2108">
            <v>0</v>
          </cell>
          <cell r="F2108">
            <v>513</v>
          </cell>
          <cell r="G2108" t="str">
            <v>C0VER</v>
          </cell>
          <cell r="H2108" t="str">
            <v>G169</v>
          </cell>
          <cell r="I2108">
            <v>520</v>
          </cell>
        </row>
        <row r="2109">
          <cell r="C2109" t="str">
            <v>96312AD211</v>
          </cell>
          <cell r="D2109">
            <v>1</v>
          </cell>
          <cell r="E2109">
            <v>0</v>
          </cell>
          <cell r="F2109">
            <v>513</v>
          </cell>
          <cell r="G2109" t="str">
            <v>C0VER</v>
          </cell>
          <cell r="H2109" t="str">
            <v>G169</v>
          </cell>
          <cell r="I2109">
            <v>520</v>
          </cell>
        </row>
        <row r="2110">
          <cell r="C2110" t="str">
            <v>96312AD212</v>
          </cell>
          <cell r="D2110">
            <v>1</v>
          </cell>
          <cell r="E2110">
            <v>0</v>
          </cell>
          <cell r="F2110">
            <v>513</v>
          </cell>
          <cell r="G2110" t="str">
            <v>C0VER</v>
          </cell>
          <cell r="H2110" t="str">
            <v>G169</v>
          </cell>
          <cell r="I2110">
            <v>520</v>
          </cell>
        </row>
        <row r="2111">
          <cell r="C2111" t="str">
            <v>96313AD208</v>
          </cell>
          <cell r="D2111">
            <v>1</v>
          </cell>
          <cell r="E2111">
            <v>0</v>
          </cell>
          <cell r="F2111">
            <v>513</v>
          </cell>
          <cell r="G2111" t="str">
            <v>C0VER</v>
          </cell>
          <cell r="H2111" t="str">
            <v>G169</v>
          </cell>
          <cell r="I2111">
            <v>520</v>
          </cell>
        </row>
      </sheetData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ソーター登録"/>
      <sheetName val="日産均等"/>
      <sheetName val="ﾊﾟｲﾌﾟ"/>
      <sheetName val="他材料費"/>
      <sheetName val="熱延鋼板"/>
      <sheetName val="冷延鋼板"/>
      <sheetName val="外注納不"/>
      <sheetName val="日産呼称DATA"/>
      <sheetName val="対象部番一覧"/>
      <sheetName val="不良ﾃﾞｰﾀ資料"/>
      <sheetName val="ﾄﾞﾛｯﾌﾟﾀﾞｳﾝLIST (2)"/>
      <sheetName val="リスト"/>
      <sheetName val="BMC金型材料硬化処理"/>
      <sheetName val="ｽｸﾗｯﾌﾟ@"/>
      <sheetName val="行数"/>
      <sheetName val="ﾍﾞｰｽ"/>
      <sheetName val="ｴｷｽﾄﾗ"/>
      <sheetName val="列数"/>
      <sheetName val="D16CDSIM"/>
      <sheetName val="ﾄﾞﾛｯﾌﾟﾀﾞｳﾝLIST"/>
      <sheetName val="ﾘｽﾄ"/>
      <sheetName val="品名"/>
      <sheetName val="種別"/>
      <sheetName val="表紙 OP"/>
      <sheetName val="納入総括"/>
      <sheetName val="MOTO"/>
      <sheetName val="X03HPW"/>
      <sheetName val="ソーター登録.xls"/>
      <sheetName val="%E3%82%BD%E3%83%BC%E3%82%BF%E3%"/>
      <sheetName val="2002"/>
      <sheetName val="北辰"/>
      <sheetName val="小山"/>
      <sheetName val="榛名"/>
    </sheetNames>
    <definedNames>
      <definedName name="印刷"/>
      <definedName name="印刷1"/>
      <definedName name="開く目次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・二課"/>
      <sheetName val="一・二課 (2)"/>
      <sheetName val="設計業務"/>
      <sheetName val="#REF!"/>
      <sheetName val="６２３Ｔ"/>
      <sheetName val="Sheet3"/>
      <sheetName val="リスト"/>
      <sheetName val="ﾄﾞﾛｯﾌﾟﾀﾞｳﾝLIST"/>
      <sheetName val="コピー ～ 設計業務構成体系表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  <sheetName val="ﾄﾞﾛｯﾌﾟﾀﾞｳﾝLIST (2)"/>
      <sheetName val="外注納不"/>
      <sheetName val="設計・生準 解析&amp;事例登録書改訂＜原紙＞"/>
      <sheetName val="0409"/>
      <sheetName val="Busho"/>
      <sheetName val="日産呼称DATA"/>
      <sheetName val="表紙"/>
      <sheetName val="対象部番一覧"/>
      <sheetName val="不良ﾃﾞｰﾀ資料"/>
      <sheetName val="Sheet1"/>
      <sheetName val="ENG油洩れ"/>
      <sheetName val="XV0個人"/>
      <sheetName val="軽戦略YOSHIMA"/>
      <sheetName val="Macro1"/>
      <sheetName val="#REF!"/>
      <sheetName val="ﾊﾟｲﾌﾟ"/>
      <sheetName val="他材料費"/>
      <sheetName val="冷延鋼板"/>
      <sheetName val="熱延鋼板"/>
      <sheetName val="献竉作成"/>
      <sheetName val="一・二課"/>
      <sheetName val="x03hpw"/>
      <sheetName val="ﾏｽﾀ"/>
      <sheetName val="全回収品(T68J78J84＆0705-LIST)見直し完了"/>
      <sheetName val="進度表"/>
      <sheetName val="色仕様"/>
      <sheetName val="□ＧＩ実験車台数前提"/>
      <sheetName val="List"/>
      <sheetName val="年俸基礎"/>
      <sheetName val="tbl"/>
      <sheetName val="進度データ"/>
      <sheetName val="GBY.C企"/>
      <sheetName val="完了"/>
      <sheetName val="品質保証責任者届"/>
      <sheetName val="日産均等"/>
      <sheetName val="事務所引越見積書"/>
      <sheetName val="品名"/>
      <sheetName val="種別"/>
      <sheetName val="GBY_C企"/>
      <sheetName val="ﾘｽﾄ"/>
      <sheetName val="北辰"/>
      <sheetName val="小山"/>
      <sheetName val="榛名"/>
    </sheetNames>
    <sheetDataSet>
      <sheetData sheetId="0" refreshError="1"/>
      <sheetData sheetId="1" refreshError="1">
        <row r="5">
          <cell r="K5" t="str">
            <v>電格耐久性能</v>
          </cell>
          <cell r="L5" t="str">
            <v>成形性</v>
          </cell>
          <cell r="M5" t="str">
            <v>成立性</v>
          </cell>
          <cell r="N5" t="str">
            <v>外観見栄え</v>
          </cell>
          <cell r="O5" t="str">
            <v>変形・収縮</v>
          </cell>
          <cell r="P5" t="str">
            <v>ｺﾞﾐ・ﾌﾞﾂ</v>
          </cell>
          <cell r="Q5" t="str">
            <v>ｶﾞﾀ・ﾋﾞﾋﾞﾘ・ｷｼﾐ音</v>
          </cell>
          <cell r="R5" t="str">
            <v>VA・VE</v>
          </cell>
          <cell r="S5" t="str">
            <v>干渉</v>
          </cell>
        </row>
        <row r="6">
          <cell r="K6" t="str">
            <v>手格耐久性能</v>
          </cell>
          <cell r="L6" t="str">
            <v>表面処理</v>
          </cell>
          <cell r="M6" t="str">
            <v>加工性</v>
          </cell>
          <cell r="N6" t="str">
            <v>点灯見栄え</v>
          </cell>
          <cell r="O6" t="str">
            <v>ﾋｹ・ゆがみ</v>
          </cell>
          <cell r="P6" t="str">
            <v>ｽｹ・ﾐｽﾄ・不足</v>
          </cell>
          <cell r="Q6" t="str">
            <v>嵌合力・保持力</v>
          </cell>
          <cell r="R6" t="str">
            <v>得意先要望</v>
          </cell>
          <cell r="S6" t="str">
            <v>設定ﾐｽ</v>
          </cell>
        </row>
        <row r="7">
          <cell r="K7" t="str">
            <v>鏡面作動性能</v>
          </cell>
          <cell r="L7" t="str">
            <v>組付性</v>
          </cell>
          <cell r="M7" t="str">
            <v>剛性・強度性能</v>
          </cell>
          <cell r="N7" t="str">
            <v>光漏れ</v>
          </cell>
          <cell r="O7" t="str">
            <v>ｳｪﾙﾄﾞﾗｲﾝ・ｼﾞｪｯﾃｨﾝｸﾞ</v>
          </cell>
          <cell r="P7" t="str">
            <v>ﾀﾞﾚ・ﾑﾗ・変色</v>
          </cell>
          <cell r="Q7" t="str">
            <v>誤組付け</v>
          </cell>
          <cell r="R7">
            <v>0</v>
          </cell>
          <cell r="S7" t="str">
            <v>指示ﾐｽ</v>
          </cell>
        </row>
        <row r="8">
          <cell r="K8" t="str">
            <v>視認性能</v>
          </cell>
          <cell r="L8">
            <v>0</v>
          </cell>
          <cell r="M8">
            <v>0</v>
          </cell>
          <cell r="N8" t="str">
            <v>部品合わせ</v>
          </cell>
          <cell r="O8" t="str">
            <v>離型性</v>
          </cell>
          <cell r="P8" t="str">
            <v>密着性</v>
          </cell>
          <cell r="Q8" t="str">
            <v>空転・破損</v>
          </cell>
        </row>
        <row r="9">
          <cell r="K9" t="str">
            <v>風音性能</v>
          </cell>
          <cell r="L9">
            <v>0</v>
          </cell>
          <cell r="M9">
            <v>0</v>
          </cell>
          <cell r="N9" t="str">
            <v>建付け</v>
          </cell>
          <cell r="O9" t="str">
            <v>流動性</v>
          </cell>
          <cell r="P9" t="str">
            <v>見切り不良</v>
          </cell>
          <cell r="Q9" t="str">
            <v>ﾒﾙﾄ塗布</v>
          </cell>
        </row>
        <row r="10">
          <cell r="K10" t="str">
            <v>剛性・強度性能</v>
          </cell>
          <cell r="L10">
            <v>0</v>
          </cell>
          <cell r="M10">
            <v>0</v>
          </cell>
          <cell r="N10" t="str">
            <v>PLｴｯﾁﾞ感</v>
          </cell>
          <cell r="O10" t="str">
            <v>ﾊﾞﾘ</v>
          </cell>
          <cell r="P10" t="str">
            <v>花咲き・ｷﾞｻﾞｷﾞｻﾞ感</v>
          </cell>
          <cell r="Q10" t="str">
            <v>溶着ﾊﾞﾘ</v>
          </cell>
        </row>
        <row r="11">
          <cell r="K11" t="str">
            <v>ｽﾍﾟｯｸ適合性</v>
          </cell>
          <cell r="N11">
            <v>0</v>
          </cell>
          <cell r="O11" t="str">
            <v>ｹﾞｰﾄ部の品質</v>
          </cell>
          <cell r="P11">
            <v>0</v>
          </cell>
          <cell r="Q11" t="str">
            <v>位置決め</v>
          </cell>
        </row>
        <row r="12">
          <cell r="K12" t="str">
            <v>異音・ﾉｲｽﾞ・ｶﾞﾀ</v>
          </cell>
          <cell r="N12">
            <v>0</v>
          </cell>
          <cell r="O12" t="str">
            <v>R/R照度不足</v>
          </cell>
          <cell r="P12">
            <v>0</v>
          </cell>
          <cell r="Q12" t="str">
            <v>難作業</v>
          </cell>
        </row>
        <row r="13">
          <cell r="K13" t="str">
            <v>法規適合性</v>
          </cell>
          <cell r="N13">
            <v>0</v>
          </cell>
          <cell r="O13" t="str">
            <v>部品精度不足</v>
          </cell>
          <cell r="P13">
            <v>0</v>
          </cell>
          <cell r="Q13" t="str">
            <v>剛性・強度</v>
          </cell>
        </row>
        <row r="14">
          <cell r="K14" t="str">
            <v>くもり性能</v>
          </cell>
          <cell r="N14">
            <v>0</v>
          </cell>
          <cell r="O14" t="str">
            <v>PL段差</v>
          </cell>
          <cell r="P14">
            <v>0</v>
          </cell>
          <cell r="Q14" t="str">
            <v>溶接部強度</v>
          </cell>
        </row>
        <row r="15">
          <cell r="K15" t="str">
            <v>耐水性能</v>
          </cell>
        </row>
        <row r="16">
          <cell r="K16" t="str">
            <v>耐熱性能</v>
          </cell>
        </row>
        <row r="17">
          <cell r="K17" t="str">
            <v>耐振性能</v>
          </cell>
        </row>
        <row r="18">
          <cell r="K18" t="str">
            <v>配光性能</v>
          </cell>
        </row>
        <row r="19">
          <cell r="K19" t="str">
            <v>嵌合部保持性能</v>
          </cell>
        </row>
        <row r="20">
          <cell r="K20" t="str">
            <v>耐溶剤性能</v>
          </cell>
        </row>
        <row r="21">
          <cell r="K21" t="str">
            <v>ｴｲﾐﾝｸﾞ性能</v>
          </cell>
        </row>
        <row r="22">
          <cell r="K22" t="str">
            <v>異音・ﾉｲｽﾞ・ｶﾞﾀ</v>
          </cell>
        </row>
        <row r="23">
          <cell r="K23" t="str">
            <v>作動耐久</v>
          </cell>
        </row>
        <row r="24">
          <cell r="K24" t="str">
            <v>ｼﾞｬﾀﾞｰ</v>
          </cell>
        </row>
        <row r="25">
          <cell r="K25" t="str">
            <v>耐腐食性能</v>
          </cell>
        </row>
        <row r="26">
          <cell r="K26" t="str">
            <v>ｱｰﾑ押圧</v>
          </cell>
        </row>
        <row r="27">
          <cell r="K27" t="str">
            <v>ﾛｯｸﾊﾞｯｸ性能</v>
          </cell>
        </row>
        <row r="28">
          <cell r="K28" t="str">
            <v>払拭性能</v>
          </cell>
        </row>
        <row r="29">
          <cell r="K29" t="str">
            <v>ｶﾞﾀ剛性(ｱｰﾑ)</v>
          </cell>
        </row>
        <row r="30">
          <cell r="K30" t="str">
            <v>ｶﾞﾀ剛性(ﾌﾞﾚｰﾄﾞ)</v>
          </cell>
        </row>
        <row r="31">
          <cell r="K31" t="str">
            <v>反転性能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Sheet1"/>
      <sheetName val="Sheet2"/>
      <sheetName val="Sheet3"/>
      <sheetName val="96期(川崎)"/>
      <sheetName val="各部寸検結果"/>
      <sheetName val="00-1"/>
      <sheetName val="Sheet1 (2)"/>
      <sheetName val="FUKUMI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Unit Price"/>
      <sheetName val="生産台数内訳"/>
      <sheetName val="クライテリア"/>
      <sheetName val="日付"/>
      <sheetName val="LR・LTｸﾚｰﾑ分析"/>
      <sheetName val="(原単位)"/>
      <sheetName val="Defects"/>
      <sheetName val="[LR・LTｸﾚｰﾑ分析.xls塅䕃⹌塅Et1 (2)"/>
      <sheetName val="พงศ์พร"/>
      <sheetName val="ﾏｸﾛ説明"/>
      <sheetName val="24204"/>
      <sheetName val="実績推移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原単位"/>
      <sheetName val="_LR・LTｸﾚｰﾑ分析.xls塅䕃⹌塅Et1 (2)"/>
      <sheetName val="入力シート"/>
      <sheetName val="計算結果"/>
      <sheetName val="00年9月"/>
      <sheetName val="6SWRF_W"/>
      <sheetName val="日程"/>
      <sheetName val="ＦＴＲ連結採算"/>
      <sheetName val="96・(・・)"/>
      <sheetName val="量産準備実施依頼書"/>
      <sheetName val="台帳集計"/>
      <sheetName val="条件表"/>
      <sheetName val="350CXZCO"/>
      <sheetName val="進め方"/>
      <sheetName val="ヘッダ"/>
      <sheetName val="MPL 技連"/>
      <sheetName val="342A Block"/>
      <sheetName val="方策系入力表"/>
      <sheetName val="ワークシート関数の使用例"/>
      <sheetName val="MOD"/>
      <sheetName val="rate"/>
      <sheetName val="ｴｱﾃﾞｨｽｸ"/>
      <sheetName val="社内検査データ"/>
      <sheetName val="マスター"/>
      <sheetName val="推移用データ"/>
      <sheetName val="ＴＦ関連Ｐｒｊ日程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名簿データ"/>
      <sheetName val="入力表"/>
      <sheetName val="第1期"/>
      <sheetName val="02MY"/>
      <sheetName val="150K-1"/>
      <sheetName val="150K-2"/>
      <sheetName val="180K投資"/>
      <sheetName val="TB3川崎"/>
      <sheetName val="職種別原価"/>
      <sheetName val="ASM#1-Eff"/>
      <sheetName val="一覧と近似式"/>
      <sheetName val="業務計画"/>
      <sheetName val="仕上１"/>
      <sheetName val="1-E"/>
      <sheetName val="150K_1投資"/>
      <sheetName val="150K_2投資"/>
      <sheetName val="工数比較２"/>
      <sheetName val="〈参考〉_P.7_シフトINディテント力"/>
      <sheetName val="TM"/>
      <sheetName val="96_97研究費_全体"/>
      <sheetName val="ﾌﾟﾙﾀﾞｳﾝﾒﾆｭｰ用ｺｰﾄﾞ表"/>
      <sheetName val="進捗確認"/>
      <sheetName val="材質検査（N増し書換済）"/>
      <sheetName val="ﾟ発表No 1"/>
      <sheetName val="市場品質状況レポート"/>
      <sheetName val="駆動力（入力シート）"/>
      <sheetName val="HX121-T"/>
      <sheetName val="洩れ"/>
      <sheetName val="新コード"/>
      <sheetName val="ｺｰﾄﾞ表"/>
      <sheetName val="TIRE読み替え表"/>
      <sheetName val="R GRILLE"/>
      <sheetName val="DOM-競合車SPEC"/>
      <sheetName val="A2 990"/>
      <sheetName val="耐久進捗data"/>
      <sheetName val="計画"/>
      <sheetName val="【資料】730改造投資"/>
      <sheetName val="品質保証責任者届"/>
      <sheetName val="表示リスト（変更禁止）"/>
      <sheetName val="名簿ﾃﾞｰﾀ"/>
      <sheetName val="00年９末"/>
      <sheetName val="出図表"/>
      <sheetName val="コード表"/>
      <sheetName val="データ"/>
      <sheetName val="集計条件"/>
      <sheetName val="出荷計画"/>
      <sheetName val="342E BLOCK"/>
      <sheetName val="本船スケジュール"/>
      <sheetName val="見本２"/>
      <sheetName val="MPL_技連"/>
      <sheetName val="342E_BLOCK"/>
      <sheetName val="資本ｺｽﾄ"/>
      <sheetName val="R&amp;D"/>
      <sheetName val="SPEC LIST"/>
      <sheetName val="HärQ"/>
      <sheetName val="駆動系1"/>
      <sheetName val="_B007"/>
      <sheetName val="ISO_250"/>
      <sheetName val="346Proj日程991124"/>
      <sheetName val="part list ext crew"/>
      <sheetName val="Years_Input"/>
      <sheetName val="制動力線計算入力"/>
      <sheetName val="Table"/>
      <sheetName val="ラミナー計算"/>
      <sheetName val="選酋表"/>
      <sheetName val="A-K研車型"/>
      <sheetName val="ﾏﾙC改造投資詳細"/>
      <sheetName val="_CONFIG-2"/>
      <sheetName val="課題実施計画書"/>
      <sheetName val="NK仕様21"/>
      <sheetName val="データシート(定地) (2)"/>
      <sheetName val="1-A､B"/>
      <sheetName val="2-A､B 3-A"/>
      <sheetName val="C3_N DC改造投資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200P SHEET"/>
      <sheetName val="OD"/>
      <sheetName val="6W"/>
      <sheetName val="ap 17"/>
      <sheetName val="NC-3 dAY"/>
      <sheetName val="社暦"/>
      <sheetName val="成形場所"/>
      <sheetName val="PROD-TF"/>
      <sheetName val="Side &amp; Pole"/>
      <sheetName val="DATA"/>
      <sheetName val="テーブル"/>
      <sheetName val="調査依頼"/>
      <sheetName val="1"/>
      <sheetName val="金額"/>
      <sheetName val="DB"/>
      <sheetName val="Car Input"/>
      <sheetName val="Summary"/>
      <sheetName val="Snp"/>
      <sheetName val="プロジェクトステータス　4J(ELF)"/>
      <sheetName val="Table Master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BAAC集計"/>
      <sheetName val="生産性評価集計用クエリ"/>
      <sheetName val="LIST1"/>
      <sheetName val="Master Route"/>
      <sheetName val="Ref"/>
      <sheetName val="シャープアイ実績"/>
      <sheetName val="対策集計結果"/>
      <sheetName val="total change&amp;add"/>
      <sheetName val="190BODY EMATRIX"/>
      <sheetName val="NEW003"/>
      <sheetName val="米国輸入ソース推移"/>
      <sheetName val="27.進捗管理"/>
      <sheetName val="Datasheet"/>
      <sheetName val=""/>
      <sheetName val="評価ﾏﾄﾘｸｽ"/>
      <sheetName val="P3"/>
      <sheetName val="133NPR55 69 EC"/>
      <sheetName val="座面面圧計算表の使用方法"/>
      <sheetName val="マン停"/>
      <sheetName val="会社概況(国内)"/>
      <sheetName val="朱書き（業種）"/>
      <sheetName val="見積依頼書(海外)"/>
      <sheetName val="1-C,D"/>
      <sheetName val="②-6菅原B第2解析パレート図"/>
      <sheetName val="11月"/>
      <sheetName val="新規00上ｸﾞﾗﾌ"/>
      <sheetName val="車会集約"/>
      <sheetName val="クエリ2"/>
      <sheetName val="星取り"/>
      <sheetName val="実車評価ＥＤ"/>
      <sheetName val="COMMON 2"/>
      <sheetName val="選択肢"/>
      <sheetName val="基準"/>
      <sheetName val="calculate"/>
      <sheetName val="日程表 3X"/>
      <sheetName val="複合-日計算"/>
      <sheetName val="030718"/>
      <sheetName val="SW評価項目"/>
      <sheetName val="DATA計"/>
      <sheetName val="車両寸法"/>
      <sheetName val="灯火器寸法"/>
      <sheetName val="Distance Master"/>
      <sheetName val="Driver Master"/>
      <sheetName val="Truck Master"/>
      <sheetName val="Allowance Master"/>
      <sheetName val="結果"/>
      <sheetName val="FB sepa S2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SMALL"/>
      <sheetName val="A010"/>
      <sheetName val="#20号車排ガス"/>
      <sheetName val="SUM"/>
      <sheetName val="G Van - Price Build up"/>
      <sheetName val="Injection Foam (4)"/>
      <sheetName val="MENU"/>
      <sheetName val="PL"/>
      <sheetName val="EPW 0630"/>
      <sheetName val="input"/>
      <sheetName val="MOTO"/>
      <sheetName val="Annual Sales"/>
      <sheetName val="ﾃﾞｰﾀ"/>
      <sheetName val="WJ素材費"/>
      <sheetName val="課題一覧"/>
      <sheetName val="FUEL FILLER"/>
      <sheetName val="Tbom-tot"/>
      <sheetName val="업체명"/>
      <sheetName val="ORIGIN"/>
      <sheetName val="계산program"/>
      <sheetName val="Instructions"/>
      <sheetName val="FUEL_FILLER"/>
      <sheetName val="Sheet1_(2)2"/>
      <sheetName val="Production_Database_3991"/>
      <sheetName val="Unit_Price2"/>
      <sheetName val="[LR・LTｸﾚｰﾑ分析_xls塅䕃⹌塅Et1_(2)1"/>
      <sheetName val="_LR・LTｸﾚｰﾑ分析_xls塅䕃⹌塅Et1_(2)1"/>
      <sheetName val="342A_Block"/>
      <sheetName val="〈参考〉_P_7_シフトINディテント力"/>
      <sheetName val="ﾟ発表No_1"/>
      <sheetName val="Data Validation"/>
      <sheetName val="ｺｰﾄﾞ"/>
      <sheetName val="償却率"/>
      <sheetName val="TABLE(LINE CODE)"/>
      <sheetName val="ﾄﾞﾛｯﾌﾟﾀﾞｳﾝLIST"/>
      <sheetName val="104-Ⅰ計画"/>
      <sheetName val="700vol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ﾘｽﾄ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Draft Vehicle Format"/>
      <sheetName val="WG_00"/>
      <sheetName val="2000_ALL"/>
      <sheetName val="SUS_00"/>
      <sheetName val="Pick up"/>
      <sheetName val="Result"/>
      <sheetName val="2005"/>
      <sheetName val="ﾊﾞﾗﾝｻｰcal"/>
      <sheetName val="ｺﾝﾛｯﾄﾞcal"/>
      <sheetName val="ｸﾗﾝｸｹｰｽcal"/>
      <sheetName val="出荷車型"/>
      <sheetName val="Index"/>
      <sheetName val="T"/>
      <sheetName val="Average"/>
      <sheetName val="#ofclose"/>
      <sheetName val="Type I"/>
      <sheetName val="F4301"/>
      <sheetName val="試験依頼管理表"/>
      <sheetName val="分類"/>
      <sheetName val="1. Prod. (BG  TG   AC) 2016"/>
      <sheetName val="Compare Budget &amp; Actual Order"/>
      <sheetName val="LCV"/>
      <sheetName val="The Rule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実績台帳_クエリ"/>
      <sheetName val="Annual Production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RWP 33"/>
      <sheetName val="価格一覧"/>
      <sheetName val="市販品"/>
      <sheetName val="特注品"/>
      <sheetName val="G&amp;A"/>
      <sheetName val="1WT素材費"/>
      <sheetName val="ｲﾝﾌﾟｯﾄｼｰﾄ"/>
      <sheetName val="グロマス仮"/>
      <sheetName val="PartsRist"/>
      <sheetName val="リスクアセスメント表様式"/>
      <sheetName val="Toggle Details"/>
      <sheetName val="4JB1-T1"/>
      <sheetName val="国ｺｰﾄﾞ"/>
      <sheetName val="部位名"/>
      <sheetName val="10"/>
      <sheetName val="HUB 4X4 OP6A 251218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166N Plist"/>
      <sheetName val="INCA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設定一覧"/>
      <sheetName val="貼付2"/>
      <sheetName val="Count- Akim"/>
      <sheetName val="Additional Chassis"/>
      <sheetName val="Source"/>
      <sheetName val="A3_フレーム"/>
      <sheetName val="A5_フレーム"/>
      <sheetName val="フレーム重心(UG測定)"/>
      <sheetName val="寸法"/>
      <sheetName val="XREF"/>
      <sheetName val="WCAP Phasing"/>
      <sheetName val="Sheet2 (3)"/>
      <sheetName val="B"/>
      <sheetName val="国内ベタ EXCELファイル指定"/>
      <sheetName val="CT F SERIES  (2)"/>
      <sheetName val="グラフ"/>
      <sheetName val="非稼働集計"/>
      <sheetName val="HOLE-UNIT TEMP"/>
      <sheetName val="Main Model"/>
      <sheetName val="_MISSION"/>
      <sheetName val="16,7"/>
      <sheetName val="F混流"/>
      <sheetName val="バス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マスタ"/>
      <sheetName val="W-15F"/>
      <sheetName val="A000"/>
      <sheetName val="torq#7"/>
      <sheetName val="メーカー検索"/>
      <sheetName val="Orig Study for PPAP"/>
      <sheetName val="SCOP"/>
      <sheetName val="目標MAP_K3_MAP_TRG_MAX"/>
      <sheetName val="リスト"/>
      <sheetName val="SPEC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Vol条件見直し"/>
      <sheetName val="表5-2 地区別CO2排出実績"/>
      <sheetName val="【ｸﾞﾗﾌ】P値V値"/>
      <sheetName val="Concept&amp;Cause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1771"/>
      <sheetName val="1771.2"/>
      <sheetName val="HE5AA実測"/>
      <sheetName val="平板Ｃ"/>
      <sheetName val="FTRQDKR10DI40"/>
      <sheetName val="WŒvðŒ"/>
      <sheetName val="(旧)LIST"/>
      <sheetName val="º½Ä²¸_P-1"/>
      <sheetName val="駆動展開_MACRO1"/>
      <sheetName val="C3_N_DC改造投資1"/>
      <sheetName val="投資･工数推移"/>
      <sheetName val="cover (FAD)"/>
      <sheetName val="º½Ä²¸ P-1"/>
      <sheetName val="Key Index"/>
      <sheetName val="H””ärQ"/>
      <sheetName val="【参考】ECMｿﾌﾄID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HUB-HOLDER ORI (2)"/>
      <sheetName val="HUB-HOLDER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DATA NILAI TEST BATCH 1"/>
      <sheetName val="全社"/>
      <sheetName val="重量表コピー"/>
      <sheetName val="取引先格付"/>
      <sheetName val="CRITERIA1"/>
      <sheetName val="PPA -  โรงงาน JIG"/>
      <sheetName val="ヘム型タイプ標準計画金額表"/>
      <sheetName val="案"/>
      <sheetName val="運用CT_クエリ_クエリ"/>
      <sheetName val="見積依頼書(日文)"/>
      <sheetName val="03年全部"/>
      <sheetName val="#REF!"/>
      <sheetName val="114W2次設変部品確認（組立） (3)"/>
      <sheetName val="受入新仕入先"/>
      <sheetName val="新規作成"/>
      <sheetName val="標試改訂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車両"/>
      <sheetName val="status"/>
      <sheetName val="前提表"/>
      <sheetName val="ﾌﾟﾛﾄ_P772分解5号機"/>
      <sheetName val="実績原価"/>
      <sheetName val="生涯利益計画ｼｰﾄ"/>
      <sheetName val="基準日および期間"/>
      <sheetName val="0409"/>
      <sheetName val="comparision"/>
      <sheetName val="Graph"/>
      <sheetName val="為替レート"/>
      <sheetName val="_原単位_"/>
      <sheetName val="차체부품 INS REPORT(갑)"/>
      <sheetName val="Sheet1_(2)4"/>
      <sheetName val="Unit_Price4"/>
      <sheetName val="[LR・LTｸﾚｰﾑ分析_xls塅䕃⹌塅Et1_(2)3"/>
      <sheetName val="Production_Database_3993"/>
      <sheetName val="_LR・LTｸﾚｰﾑ分析_xls塅䕃⹌塅Et1_(2)3"/>
      <sheetName val="MPL_技連3"/>
      <sheetName val="342A_Block2"/>
      <sheetName val="〈参考〉_P_7_シフトINディテント力2"/>
      <sheetName val="A2_9902"/>
      <sheetName val="ﾟ発表No_12"/>
      <sheetName val="R_GRILLE1"/>
      <sheetName val="342E_BLOCK3"/>
      <sheetName val="SPEC_LIST2"/>
      <sheetName val="part_list_ext_crew2"/>
      <sheetName val="データシート(定地)_(2)1"/>
      <sheetName val="2-A､B_3-A1"/>
      <sheetName val="BP_volume_(2)2"/>
      <sheetName val="BP_volume2"/>
      <sheetName val="20kb_CR2"/>
      <sheetName val="VAVE Progress Summary"/>
      <sheetName val="FML"/>
      <sheetName val="部品単価（集計基）"/>
      <sheetName val="s-code"/>
      <sheetName val="NF"/>
      <sheetName val="選択項目"/>
      <sheetName val="パーツリスト"/>
      <sheetName val="summary_(BP_ISZJ_Mar'12)2"/>
      <sheetName val="PnL_2006_LE2"/>
      <sheetName val="P_12"/>
      <sheetName val="Page_3_(Samrong_UA)2"/>
      <sheetName val="Page_4_(Gateway-TF)2"/>
      <sheetName val="200P_SHEET2"/>
      <sheetName val="ap_171"/>
      <sheetName val="NC-3_dAY2"/>
      <sheetName val="Car_Input2"/>
      <sheetName val="Table_Master2"/>
      <sheetName val="_FE_0919Cal_TP31"/>
      <sheetName val="LAY-OUT_1"/>
      <sheetName val="Side_&amp;_Pole1"/>
      <sheetName val="Master_Route2"/>
      <sheetName val="total_change&amp;add2"/>
      <sheetName val="190BODY_EMATRIX1"/>
      <sheetName val="27_進捗管理1"/>
      <sheetName val="133NPR55_69_EC2"/>
      <sheetName val="FUEL_FILLER2"/>
      <sheetName val="Data_Validation1"/>
      <sheetName val="COMMON_21"/>
      <sheetName val="日程表_3X2"/>
      <sheetName val="Distance_Master2"/>
      <sheetName val="Driver_Master2"/>
      <sheetName val="Truck_Master2"/>
      <sheetName val="Allowance_Master2"/>
      <sheetName val="FB_sepa_S22"/>
      <sheetName val="TT_(13)2"/>
      <sheetName val="Ass'y-A_(Day)2"/>
      <sheetName val="G_Van_-_Price_Build_up2"/>
      <sheetName val="Injection_Foam_(4)2"/>
      <sheetName val="EPW_06302"/>
      <sheetName val="Annual_Sales1"/>
      <sheetName val="TABLE(LINE_CODE)1"/>
      <sheetName val="Control_fml1"/>
      <sheetName val="Draft_Vehicle_Format1"/>
      <sheetName val="Pick_up2"/>
      <sheetName val="Type_I1"/>
      <sheetName val="1__Prod__(BG__TG___AC)_20162"/>
      <sheetName val="Compare_Budget_&amp;_Actual_Order2"/>
      <sheetName val="The_Rule1"/>
      <sheetName val="ES01_トルクカーブ_201211151"/>
      <sheetName val="Welding_#21"/>
      <sheetName val="Cap__Injection_1"/>
      <sheetName val="3_Idea_Sewing_1"/>
      <sheetName val="Annual_Production1"/>
      <sheetName val="RWP_331"/>
      <sheetName val="Supp_List1"/>
      <sheetName val="FI1_COVER1"/>
      <sheetName val="0-VR4_FI11"/>
      <sheetName val="HUB_4X4_OP6A_251218"/>
      <sheetName val="Toggle_Details1"/>
      <sheetName val="166N_Plist"/>
      <sheetName val="ocean_voyage"/>
      <sheetName val="11_CPU単価"/>
      <sheetName val="08_P772報告書030530"/>
      <sheetName val="_CV_ALL"/>
      <sheetName val="TF_;_C-19"/>
      <sheetName val="Time_study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MENO"/>
      <sheetName val="印刷"/>
      <sheetName val="Purchase Order"/>
      <sheetName val="Customize Your Purchase Order"/>
      <sheetName val="R_GRILLE2"/>
      <sheetName val="Side_&amp;_Pole2"/>
      <sheetName val="データシート(定地)_(2)2"/>
      <sheetName val="2-A､B_3-A2"/>
      <sheetName val="C3_N_DC改造投資2"/>
      <sheetName val="ap_172"/>
      <sheetName val="_FE_0919Cal_TP32"/>
      <sheetName val="LAY-OUT_2"/>
      <sheetName val="190BODY_EMATRIX2"/>
      <sheetName val="Sheet1_(2)5"/>
      <sheetName val="Unit_Price5"/>
      <sheetName val="[LR・LTｸﾚｰﾑ分析_xls塅䕃⹌塅Et1_(2)4"/>
      <sheetName val="Production_Database_3994"/>
      <sheetName val="_LR・LTｸﾚｰﾑ分析_xls塅䕃⹌塅Et1_(2)4"/>
      <sheetName val="MPL_技連4"/>
      <sheetName val="342A_Block3"/>
      <sheetName val="〈参考〉_P_7_シフトINディテント力3"/>
      <sheetName val="ﾟ発表No_13"/>
      <sheetName val="R_GRILLE3"/>
      <sheetName val="A2_9903"/>
      <sheetName val="Table_Master3"/>
      <sheetName val="Side_&amp;_Pole3"/>
      <sheetName val="342E_BLOCK4"/>
      <sheetName val="SPEC_LIST3"/>
      <sheetName val="part_list_ext_crew3"/>
      <sheetName val="データシート(定地)_(2)3"/>
      <sheetName val="2-A､B_3-A3"/>
      <sheetName val="C3_N_DC改造投資3"/>
      <sheetName val="BP_volume_(2)3"/>
      <sheetName val="BP_volume3"/>
      <sheetName val="20kb_CR3"/>
      <sheetName val="summary_(BP_ISZJ_Mar'12)3"/>
      <sheetName val="PnL_2006_LE3"/>
      <sheetName val="P_13"/>
      <sheetName val="Page_3_(Samrong_UA)3"/>
      <sheetName val="Page_4_(Gateway-TF)3"/>
      <sheetName val="200P_SHEET3"/>
      <sheetName val="ap_173"/>
      <sheetName val="NC-3_dAY3"/>
      <sheetName val="Car_Input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C3_N_DC改造投資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GRAFIK CYB 270"/>
      <sheetName val="เดือน ธ.ค.61    (2)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Main_Model"/>
      <sheetName val="HOLE-UNIT_TEMP"/>
      <sheetName val="1771_2"/>
      <sheetName val="MAKER_LIST_&amp;_Rate_Change"/>
      <sheetName val="Summary Plant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元帳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【補】KNOB"/>
      <sheetName val="入力規則リスト他"/>
      <sheetName val="運用ルール"/>
      <sheetName val="190XS設計室1128"/>
      <sheetName val="#ofclose .xl"/>
      <sheetName val="SLAB"/>
      <sheetName val="Drop list"/>
      <sheetName val="入力1"/>
      <sheetName val="Actual"/>
      <sheetName val="LVMAY"/>
      <sheetName val="134車型&amp;仕様"/>
      <sheetName val="N900凯威4500&amp;4750 PP 样车FCPA评审"/>
      <sheetName val="投資ﾘｽﾄ"/>
      <sheetName val="項目定義"/>
      <sheetName val="ทำข้อมูล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Sheet4"/>
      <sheetName val="Mixanal"/>
      <sheetName val="p_no_Coil"/>
      <sheetName val="COIL_C3-6"/>
      <sheetName val="表5-2_地区別CO2排出実績"/>
      <sheetName val="cover_(FAD)"/>
      <sheetName val="º½Ä²¸_P-11"/>
      <sheetName val="Key_Index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”開発狙い”一覧表"/>
      <sheetName val="ﾛｰﾙﾏｰｼﾞﾝ他"/>
      <sheetName val="目標管理表(実績）"/>
      <sheetName val="吊上げパ(20)"/>
      <sheetName val="吊上げパ_20_"/>
      <sheetName val="TP_Bud05_reGM"/>
      <sheetName val="D2) Truck List"/>
      <sheetName val="購買担当"/>
      <sheetName val="LeafspringDetails"/>
      <sheetName val="発行表"/>
      <sheetName val="__ PLASTIC UP_TPIA "/>
      <sheetName val="PRE_BUDGET REPORT_2012"/>
      <sheetName val="ban-ling"/>
      <sheetName val="初期03"/>
      <sheetName val="DtRework"/>
      <sheetName val="6B8MOD15"/>
      <sheetName val="Sub Acc"/>
      <sheetName val="入力カー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?????__Op"/>
      <sheetName val="メイン画面__Op"/>
      <sheetName val="Vehicle_Number"/>
      <sheetName val="GROUP_A"/>
      <sheetName val="WCAP_Phasing"/>
      <sheetName val="国内ベタ_EXCELファイル指定"/>
      <sheetName val="Count-_Akim"/>
      <sheetName val="Additional_Chassis"/>
      <sheetName val="CT_F_SERIES__(2)"/>
      <sheetName val="Orig_Study_for_PPAP"/>
      <sheetName val="Sheet2_(3)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No.16"/>
      <sheetName val="Fiel List"/>
      <sheetName val="Supplier Addresses"/>
      <sheetName val="aphc"/>
      <sheetName val="J21KPL"/>
      <sheetName val="현금흐름표"/>
      <sheetName val="ใบหน้า"/>
      <sheetName val="完了"/>
      <sheetName val="Sheet1_(2)15"/>
      <sheetName val="Unit_Price15"/>
      <sheetName val="[LR・LTｸﾚｰﾑ分析_xls塅䕃⹌塅Et1_(2)14"/>
      <sheetName val="Production_Database_39914"/>
      <sheetName val="_LR・LTｸﾚｰﾑ分析_xls塅䕃⹌塅Et1_(2)14"/>
      <sheetName val="MPL_技連14"/>
      <sheetName val="342A_Block13"/>
      <sheetName val="〈参考〉_P_7_シフトINディテント力13"/>
      <sheetName val="ﾟ発表No_113"/>
      <sheetName val="R_GRILLE13"/>
      <sheetName val="A2_99013"/>
      <sheetName val="Side_&amp;_Pole13"/>
      <sheetName val="342E_BLOCK14"/>
      <sheetName val="SPEC_LIST13"/>
      <sheetName val="part_list_ext_crew13"/>
      <sheetName val="データシート(定地)_(2)13"/>
      <sheetName val="2-A､B_3-A13"/>
      <sheetName val="C3_N_DC改造投資13"/>
      <sheetName val="BP_volume_(2)13"/>
      <sheetName val="BP_volume13"/>
      <sheetName val="20kb_CR13"/>
      <sheetName val="summary_(BP_ISZJ_Mar'12)13"/>
      <sheetName val="PnL_2006_LE13"/>
      <sheetName val="P_113"/>
      <sheetName val="Page_3_(Samrong_UA)13"/>
      <sheetName val="Page_4_(Gateway-TF)13"/>
      <sheetName val="200P_SHEET13"/>
      <sheetName val="ap_1713"/>
      <sheetName val="NC-3_dAY13"/>
      <sheetName val="Car_Input13"/>
      <sheetName val="Table_Master13"/>
      <sheetName val="_FE_0919Cal_TP313"/>
      <sheetName val="LAY-OUT_13"/>
      <sheetName val="190BODY_EMATRIX13"/>
      <sheetName val="Master_Route3"/>
      <sheetName val="total_change&amp;add3"/>
      <sheetName val="27_進捗管理2"/>
      <sheetName val="133NPR55_69_EC3"/>
      <sheetName val="FUEL_FILLER3"/>
      <sheetName val="Data_Validation2"/>
      <sheetName val="COMMON_22"/>
      <sheetName val="日程表_3X3"/>
      <sheetName val="Distance_Master3"/>
      <sheetName val="Driver_Master3"/>
      <sheetName val="Truck_Master3"/>
      <sheetName val="Allowance_Master3"/>
      <sheetName val="FB_sepa_S23"/>
      <sheetName val="TT_(13)3"/>
      <sheetName val="Ass'y-A_(Day)3"/>
      <sheetName val="G_Van_-_Price_Build_up3"/>
      <sheetName val="Injection_Foam_(4)3"/>
      <sheetName val="EPW_06303"/>
      <sheetName val="Annual_Sales2"/>
      <sheetName val="TABLE(LINE_CODE)2"/>
      <sheetName val="Control_fml2"/>
      <sheetName val="Draft_Vehicle_Format2"/>
      <sheetName val="Pick_up3"/>
      <sheetName val="Type_I2"/>
      <sheetName val="1__Prod__(BG__TG___AC)_20163"/>
      <sheetName val="Compare_Budget_&amp;_Actual_Order3"/>
      <sheetName val="The_Rule2"/>
      <sheetName val="ES01_トルクカーブ_201211152"/>
      <sheetName val="Welding_#22"/>
      <sheetName val="Cap__Injection_2"/>
      <sheetName val="3_Idea_Sewing_2"/>
      <sheetName val="Annual_Production2"/>
      <sheetName val="RWP_332"/>
      <sheetName val="Supp_List2"/>
      <sheetName val="FI1_COVER2"/>
      <sheetName val="0-VR4_FI12"/>
      <sheetName val="Toggle_Details2"/>
      <sheetName val="HUB_4X4_OP6A_2512181"/>
      <sheetName val="ocean_voyage1"/>
      <sheetName val="11_CPU単価1"/>
      <sheetName val="08_P772報告書0305301"/>
      <sheetName val="_CV_ALL1"/>
      <sheetName val="TF_;_C-191"/>
      <sheetName val="Time_study1"/>
      <sheetName val="166N_Plist1"/>
      <sheetName val="WCAP_Phasing1"/>
      <sheetName val="Count-_Akim1"/>
      <sheetName val="Additional_Chassis1"/>
      <sheetName val="Sheet2_(3)1"/>
      <sheetName val="Vehicle_Number1"/>
      <sheetName val="GROUP_A1"/>
      <sheetName val="国内ベタ_EXCELファイル指定1"/>
      <sheetName val="CT_F_SERIES__(2)1"/>
      <sheetName val="HOLE-UNIT_TEMP1"/>
      <sheetName val="Main_Model1"/>
      <sheetName val="MAKER_LIST_&amp;_Rate_Change1"/>
      <sheetName val="Orig_Study_for_PPAP1"/>
      <sheetName val="表5-2_地区別CO2排出実績1"/>
      <sheetName val="p_no_Coil1"/>
      <sheetName val="COIL_C3-61"/>
      <sheetName val="1771_21"/>
      <sheetName val="cover_(FAD)1"/>
      <sheetName val="º½Ä²¸_P-12"/>
      <sheetName val="Key_Index1"/>
      <sheetName val="THAI_SPEC_NO_1"/>
      <sheetName val="0)_Route_Planning1"/>
      <sheetName val="D1)_Driver_List1"/>
      <sheetName val="CAP_SEW_RFRJ_Sale#2_1"/>
      <sheetName val="COIL_B-61"/>
      <sheetName val="P2_BUDGET"/>
      <sheetName val="HUB-HOLDER_ORI_(2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DATA_NILAI_TEST_BATCH_12"/>
      <sheetName val="PPA_-__โรงงาน_JIG2"/>
      <sheetName val="114W2次設変部品確認（組立）_(3)2"/>
      <sheetName val="_______Op"/>
      <sheetName val="_______x005f_x0015__Op"/>
      <sheetName val="メイン画面__x005f_x0015__Op"/>
      <sheetName val="차체부품_INS_REPORT(갑)"/>
      <sheetName val="VAVE_Progress_Summary"/>
      <sheetName val="Purchase_Order"/>
      <sheetName val="Customize_Your_Purchase_Order"/>
      <sheetName val="①　BP_vs_SPR_(TTL_Impact)"/>
      <sheetName val="GRAFIK_CYB_270"/>
      <sheetName val="เดือน_ธ_ค_61____(2)"/>
      <sheetName val="Summary_Plant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#ofclose__xl"/>
      <sheetName val="N900凯威4500&amp;4750_PP_样车FCPA评审"/>
      <sheetName val="Over_all_FS_A"/>
      <sheetName val="MZX_EPH暫定対策"/>
      <sheetName val="MZX新規SPRING_ALT1"/>
      <sheetName val="MZX新規SPRING_ALT2"/>
      <sheetName val="Progress_Target_2019"/>
      <sheetName val="Status_meaning"/>
      <sheetName val="Summary_data"/>
      <sheetName val="Data_Base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Drop_list"/>
      <sheetName val="D2)_Truck_List"/>
      <sheetName val="___PLASTIC_UP_TPIA_"/>
      <sheetName val="PRE_BUDGET_REPORT_2012"/>
      <sheetName val="Sub_Acc"/>
      <sheetName val="Sales_breakdown"/>
      <sheetName val="No_16"/>
      <sheetName val="Fiel_List"/>
      <sheetName val="Supplier_Addresses"/>
      <sheetName val="List Line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Maintenance Work Order"/>
      <sheetName val="原価"/>
      <sheetName val="NET表"/>
      <sheetName val="BQ表"/>
      <sheetName val="国内WL販"/>
      <sheetName val="海外WL販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Master_Route4"/>
      <sheetName val="total_change&amp;add4"/>
      <sheetName val="27_進捗管理3"/>
      <sheetName val="133NPR55_69_EC4"/>
      <sheetName val="COMMON_23"/>
      <sheetName val="日程表_3X4"/>
      <sheetName val="Distance_Master4"/>
      <sheetName val="Driver_Master4"/>
      <sheetName val="Truck_Master4"/>
      <sheetName val="Allowance_Master4"/>
      <sheetName val="FB_sepa_S24"/>
      <sheetName val="TT_(13)4"/>
      <sheetName val="Ass'y-A_(Day)4"/>
      <sheetName val="G_Van_-_Price_Build_up4"/>
      <sheetName val="Injection_Foam_(4)4"/>
      <sheetName val="EPW_06304"/>
      <sheetName val="Annual_Sales3"/>
      <sheetName val="FUEL_FILLER4"/>
      <sheetName val="Data_Validation3"/>
      <sheetName val="TABLE(LINE_CODE)3"/>
      <sheetName val="Control_fml3"/>
      <sheetName val="Supp_List3"/>
      <sheetName val="Draft_Vehicle_Format3"/>
      <sheetName val="Pick_up4"/>
      <sheetName val="Type_I3"/>
      <sheetName val="1__Prod__(BG__TG___AC)_20164"/>
      <sheetName val="Compare_Budget_&amp;_Actual_Order4"/>
      <sheetName val="The_Rule3"/>
      <sheetName val="ES01_トルクカーブ_201211153"/>
      <sheetName val="Welding_#23"/>
      <sheetName val="Cap__Injection_3"/>
      <sheetName val="3_Idea_Sewing_3"/>
      <sheetName val="Annual_Production3"/>
      <sheetName val="RWP_333"/>
      <sheetName val="FI1_COVER3"/>
      <sheetName val="0-VR4_FI13"/>
      <sheetName val="Toggle_Details3"/>
      <sheetName val="HUB_4X4_OP6A_2512182"/>
      <sheetName val="166N_Plist2"/>
      <sheetName val="ocean_voyage2"/>
      <sheetName val="11_CPU単価2"/>
      <sheetName val="08_P772報告書0305302"/>
      <sheetName val="_CV_ALL2"/>
      <sheetName val="TF_;_C-192"/>
      <sheetName val="Time_study2"/>
      <sheetName val="Vehicle_Number2"/>
      <sheetName val="GROUP_A2"/>
      <sheetName val="WCAP_Phasing2"/>
      <sheetName val="国内ベタ_EXCELファイル指定2"/>
      <sheetName val="Count-_Akim2"/>
      <sheetName val="Additional_Chassis2"/>
      <sheetName val="CT_F_SERIES__(2)2"/>
      <sheetName val="HOLE-UNIT_TEMP2"/>
      <sheetName val="Main_Model2"/>
      <sheetName val="MAKER_LIST_&amp;_Rate_Change2"/>
      <sheetName val="Orig_Study_for_PPAP2"/>
      <sheetName val="Sheet2_(3)2"/>
      <sheetName val="表5-2_地区別CO2排出実績2"/>
      <sheetName val="p_no_Coil2"/>
      <sheetName val="COIL_C3-62"/>
      <sheetName val="1771_22"/>
      <sheetName val="cover_(FAD)2"/>
      <sheetName val="º½Ä²¸_P-13"/>
      <sheetName val="Key_Index2"/>
      <sheetName val="THAI_SPEC_NO_2"/>
      <sheetName val="0)_Route_Planning2"/>
      <sheetName val="D1)_Driver_List2"/>
      <sheetName val="CAP_SEW_RFRJ_Sale#2_2"/>
      <sheetName val="COIL_B-62"/>
      <sheetName val="P2_BUDGET1"/>
      <sheetName val="HUB-HOLDER_ORI_(2)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DATA_NILAI_TEST_BATCH_13"/>
      <sheetName val="PPA_-__โรงงาน_JIG3"/>
      <sheetName val="114W2次設変部品確認（組立）_(3)3"/>
      <sheetName val="_______x005f_x0015__Op1"/>
      <sheetName val="メイン画面__x005f_x0015__Op1"/>
      <sheetName val="VAVE_Progress_Summary1"/>
      <sheetName val="차체부품_INS_REPORT(갑)1"/>
      <sheetName val="①　BP_vs_SPR_(TTL_Impact)1"/>
      <sheetName val="GRAFIK_CYB_2701"/>
      <sheetName val="เดือน_ธ_ค_61____(2)1"/>
      <sheetName val="Summary_Plant2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N900凯威4500&amp;4750_PP_样车FCPA评审1"/>
      <sheetName val="Over_all_FS_A1"/>
      <sheetName val="MZX_EPH暫定対策1"/>
      <sheetName val="MZX新規SPRING_ALT11"/>
      <sheetName val="MZX新規SPRING_ALT21"/>
      <sheetName val="Progress_Target_20191"/>
      <sheetName val="Status_meaning1"/>
      <sheetName val="Summary_data1"/>
      <sheetName val="Data_Base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D2)_Truck_List1"/>
      <sheetName val="___PLASTIC_UP_TPIA_1"/>
      <sheetName val="PRE_BUDGET_REPORT_20121"/>
      <sheetName val="Sub_Acc1"/>
      <sheetName val="Breakeven Analysis Data"/>
      <sheetName val="MISSON月末実績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入力規則"/>
      <sheetName val="社名ＭＦ"/>
      <sheetName val="PPM"/>
      <sheetName val="????? _x005f_x0015_ Op"/>
      <sheetName val="MOLD"/>
      <sheetName val="持分率"/>
      <sheetName val="ｼｽﾃﾑ使用料ｼﾐｭﾚｰｼｮﾝ (2)"/>
      <sheetName val="PJN"/>
      <sheetName val="DATA "/>
      <sheetName val="レポートレイアウト"/>
      <sheetName val="_____ _x005f_x005f_x005f_x0015_"/>
      <sheetName val="メイン画面 _x005f_x005f_x005f_x0015_"/>
      <sheetName val="PRASS99"/>
      <sheetName val="RG04　IMCT認証準備"/>
      <sheetName val="56112"/>
      <sheetName val="New VL20 EURO3"/>
      <sheetName val="Reply Sheet (2)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97-11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DATA__CONE"/>
      <sheetName val="DATA__CUP"/>
      <sheetName val="Report_Compare_PM"/>
      <sheetName val="Data_All_"/>
      <sheetName val="Fix_Cost_Rev_0"/>
      <sheetName val="ID WORKER"/>
      <sheetName val="DATA FT"/>
      <sheetName val="DATA RAD"/>
      <sheetName val="RADIATOR"/>
      <sheetName val="Process BL Line C"/>
      <sheetName val="850T "/>
      <sheetName val="10.PPAP&amp;Pilot"/>
      <sheetName val="RG12 THAI SPEC NO."/>
      <sheetName val="UNIDADESHS02MY"/>
      <sheetName val="ETRS"/>
      <sheetName val="blank form"/>
      <sheetName val="ELF"/>
      <sheetName val="プルダウン"/>
      <sheetName val="ตัวเลือก ห้ามลบ"/>
      <sheetName val="RT79"/>
      <sheetName val="RANK"/>
      <sheetName val="CHART"/>
      <sheetName val="Validation"/>
      <sheetName val="倉庫ＩＣ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Test Data"/>
      <sheetName val="ABS_SUMMARY"/>
      <sheetName val="IMV640A DT"/>
      <sheetName val="他データ"/>
      <sheetName val="QM_20Apl"/>
      <sheetName val="Detail"/>
      <sheetName val="ﾏｸﾛ用"/>
      <sheetName val="Status Base"/>
      <sheetName val="Formulas"/>
      <sheetName val="各地区気温"/>
      <sheetName val="流量確認結果"/>
      <sheetName val="(部門)"/>
      <sheetName val="ヘッダー"/>
      <sheetName val="UPG表"/>
      <sheetName val="2005 Sales breakdown"/>
      <sheetName val="ALL"/>
      <sheetName val="CRPQ"/>
      <sheetName val="PnL_2005 LE"/>
      <sheetName val="条件入力"/>
      <sheetName val="????730????"/>
      <sheetName val="_____ _x005f_x005f_x005f_x005f_"/>
      <sheetName val="メイン画面 _x005f_x005f_x005f_x005f_"/>
      <sheetName val="YÖN ÖZET DATA"/>
      <sheetName val="11_CPU単価3"/>
      <sheetName val="08_P772報告書0305303"/>
      <sheetName val="ocean_voyage3"/>
      <sheetName val="_CV_ALL3"/>
      <sheetName val="TF_;_C-193"/>
      <sheetName val="Time_study3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HOLE-UNIT_TEMP3"/>
      <sheetName val="Main_Model3"/>
      <sheetName val="MAKER_LIST_&amp;_Rate_Change3"/>
      <sheetName val="HUB-HOLDER_ORI_(2)2"/>
      <sheetName val="1771_23"/>
      <sheetName val="Summary_Plant3"/>
      <sheetName val="Over_all_FS_A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Subgol"/>
      <sheetName val="看板 (2)"/>
      <sheetName val="Daily Receiving"/>
      <sheetName val="進捗グラフ"/>
      <sheetName val="CYJ"/>
      <sheetName val="Sheet1_(2)17"/>
      <sheetName val="Unit_Price17"/>
      <sheetName val="[LR・LTｸﾚｰﾑ分析_xls塅䕃⹌塅Et1_(2)16"/>
      <sheetName val="Production_Database_39916"/>
      <sheetName val="_LR・LTｸﾚｰﾑ分析_xls塅䕃⹌塅Et1_(2)16"/>
      <sheetName val="MPL_技連16"/>
      <sheetName val="342A_Block15"/>
      <sheetName val="〈参考〉_P_7_シフトINディテント力15"/>
      <sheetName val="ﾟ発表No_115"/>
      <sheetName val="A2_99015"/>
      <sheetName val="R_GRILLE15"/>
      <sheetName val="342E_BLOCK16"/>
      <sheetName val="SPEC_LIST15"/>
      <sheetName val="part_list_ext_crew15"/>
      <sheetName val="データシート(定地)_(2)15"/>
      <sheetName val="2-A､B_3-A15"/>
      <sheetName val="C3_N_DC改造投資15"/>
      <sheetName val="BP_volume_(2)15"/>
      <sheetName val="BP_volume15"/>
      <sheetName val="20kb_CR15"/>
      <sheetName val="summary_(BP_ISZJ_Mar'12)15"/>
      <sheetName val="PnL_2006_LE15"/>
      <sheetName val="P_115"/>
      <sheetName val="Page_3_(Samrong_UA)15"/>
      <sheetName val="Page_4_(Gateway-TF)15"/>
      <sheetName val="200P_SHEET15"/>
      <sheetName val="ap_1715"/>
      <sheetName val="NC-3_dAY15"/>
      <sheetName val="Car_Input15"/>
      <sheetName val="Table_Master15"/>
      <sheetName val="_FE_0919Cal_TP315"/>
      <sheetName val="LAY-OUT_15"/>
      <sheetName val="Side_&amp;_Pole15"/>
      <sheetName val="190BODY_EMATRIX15"/>
      <sheetName val="Master_Route5"/>
      <sheetName val="total_change&amp;add5"/>
      <sheetName val="27_進捗管理4"/>
      <sheetName val="133NPR55_69_EC5"/>
      <sheetName val="FUEL_FILLER5"/>
      <sheetName val="Data_Validation4"/>
      <sheetName val="COMMON_24"/>
      <sheetName val="日程表_3X5"/>
      <sheetName val="Distance_Master5"/>
      <sheetName val="Driver_Master5"/>
      <sheetName val="Truck_Master5"/>
      <sheetName val="Allowance_Master5"/>
      <sheetName val="FB_sepa_S25"/>
      <sheetName val="TT_(13)5"/>
      <sheetName val="Ass'y-A_(Day)5"/>
      <sheetName val="G_Van_-_Price_Build_up5"/>
      <sheetName val="Injection_Foam_(4)5"/>
      <sheetName val="EPW_06305"/>
      <sheetName val="Annual_Sales4"/>
      <sheetName val="TABLE(LINE_CODE)4"/>
      <sheetName val="Control_fml4"/>
      <sheetName val="Draft_Vehicle_Format4"/>
      <sheetName val="Pick_up5"/>
      <sheetName val="Type_I4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Annual_Production4"/>
      <sheetName val="RWP_334"/>
      <sheetName val="Supp_List4"/>
      <sheetName val="FI1_COVER4"/>
      <sheetName val="0-VR4_FI14"/>
      <sheetName val="Toggle_Details4"/>
      <sheetName val="HUB_4X4_OP6A_2512183"/>
      <sheetName val="ocean_voyage4"/>
      <sheetName val="11_CPU単価4"/>
      <sheetName val="08_P772報告書0305304"/>
      <sheetName val="_CV_ALL4"/>
      <sheetName val="TF_;_C-194"/>
      <sheetName val="Time_study4"/>
      <sheetName val="166N_Plist3"/>
      <sheetName val="WCAP_Phasing3"/>
      <sheetName val="Count-_Akim3"/>
      <sheetName val="Additional_Chassis3"/>
      <sheetName val="Sheet2_(3)3"/>
      <sheetName val="Vehicle_Number3"/>
      <sheetName val="GROUP_A3"/>
      <sheetName val="国内ベタ_EXCELファイル指定3"/>
      <sheetName val="CT_F_SERIES__(2)3"/>
      <sheetName val="HOLE-UNIT_TEMP4"/>
      <sheetName val="Main_Model4"/>
      <sheetName val="MAKER_LIST_&amp;_Rate_Change4"/>
      <sheetName val="Orig_Study_for_PPAP3"/>
      <sheetName val="表5-2_地区別CO2排出実績4"/>
      <sheetName val="p_no_Coil4"/>
      <sheetName val="COIL_C3-64"/>
      <sheetName val="1771_24"/>
      <sheetName val="cover_(FAD)4"/>
      <sheetName val="º½Ä²¸_P-15"/>
      <sheetName val="Key_Index4"/>
      <sheetName val="THAI_SPEC_NO_4"/>
      <sheetName val="0)_Route_Planning4"/>
      <sheetName val="D1)_Driver_List4"/>
      <sheetName val="CAP_SEW_RFRJ_Sale#2_4"/>
      <sheetName val="COIL_B-64"/>
      <sheetName val="P2_BUDGET3"/>
      <sheetName val="HUB-HOLDER_ORI_(2)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ATA_NILAI_TEST_BATCH_14"/>
      <sheetName val="PPA_-__โรงงาน_JIG4"/>
      <sheetName val="114W2次設変部品確認（組立）_(3)4"/>
      <sheetName val="_______x005f_x0015__Op2"/>
      <sheetName val="メイン画面__x005f_x0015__Op2"/>
      <sheetName val="차체부품_INS_REPORT(갑)2"/>
      <sheetName val="VAVE_Progress_Summary2"/>
      <sheetName val="Purchase_Order2"/>
      <sheetName val="Customize_Your_Purchase_Order2"/>
      <sheetName val="①　BP_vs_SPR_(TTL_Impact)2"/>
      <sheetName val="GRAFIK_CYB_2702"/>
      <sheetName val="เดือน_ธ_ค_61____(2)2"/>
      <sheetName val="Summary_Plant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#ofclose__xl1"/>
      <sheetName val="N900凯威4500&amp;4750_PP_样车FCPA评审2"/>
      <sheetName val="Over_all_FS_A3"/>
      <sheetName val="MZX_EPH暫定対策2"/>
      <sheetName val="MZX新規SPRING_ALT12"/>
      <sheetName val="MZX新規SPRING_ALT22"/>
      <sheetName val="Progress_Target_20193"/>
      <sheetName val="Status_meaning3"/>
      <sheetName val="Summary_data3"/>
      <sheetName val="Data_Base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Drop_list1"/>
      <sheetName val="D2)_Truck_List2"/>
      <sheetName val="___PLASTIC_UP_TPIA_2"/>
      <sheetName val="PRE_BUDGET_REPORT_20122"/>
      <sheetName val="Sub_Acc2"/>
      <sheetName val="Sales_breakdown1"/>
      <sheetName val="No_161"/>
      <sheetName val="Fiel_List1"/>
      <sheetName val="Supplier_Addresses1"/>
      <sheetName val="Breakeven_Analysis_Data"/>
      <sheetName val="List_Line"/>
      <sheetName val="7H-3_99-1"/>
      <sheetName val="7H-3_99-10"/>
      <sheetName val="7H-3_99-11"/>
      <sheetName val="7H-3_99-12"/>
      <sheetName val="7H-3_99-2"/>
      <sheetName val="7H-3_99-3"/>
      <sheetName val="7H-3_99-4"/>
      <sheetName val="7H-3_99-5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Maintenance_Work_Order"/>
      <sheetName val="Data_71"/>
      <sheetName val="1_Program_Overview2"/>
      <sheetName val="Summary_Status"/>
      <sheetName val="?????__x005f_x0015__Op1"/>
      <sheetName val="ｼｽﾃﾑ使用料ｼﾐｭﾚｰｼｮﾝ_(2)"/>
      <sheetName val="DATA_"/>
      <sheetName val="_______x005f_x005f_x005f_x0015_"/>
      <sheetName val="メイン画面__x005f_x005f_x005f_x0015_"/>
      <sheetName val="New_VL20_EURO3"/>
      <sheetName val="Reply_Sheet_(2)"/>
      <sheetName val="6H_HSG原価"/>
      <sheetName val="TS_SA1_Report_of_JIBUHIN"/>
      <sheetName val="PRIMECENTER_Rack_46_U,_1000_mm"/>
      <sheetName val="DATA__CONE2"/>
      <sheetName val="DATA__CUP2"/>
      <sheetName val="Report_Compare_PM2"/>
      <sheetName val="Data_All_2"/>
      <sheetName val="Fix_Cost_Rev_02"/>
      <sheetName val="PP_Letter_389N1"/>
      <sheetName val="ID_WORKER"/>
      <sheetName val="DATA_FT"/>
      <sheetName val="DATA_RAD"/>
      <sheetName val="Process_BL_Line_C"/>
      <sheetName val="850T_"/>
      <sheetName val="10_PPAP&amp;Pilot"/>
      <sheetName val="RG12_THAI_SPEC_NO_"/>
      <sheetName val="blank_form"/>
      <sheetName val="ตัวเลือก_ห้ามลบ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Status_Base"/>
      <sheetName val="2005_Sales_breakdown"/>
      <sheetName val="PnL_2005_LE1"/>
      <sheetName val="_______x005f_x005f_x005f_x005f_"/>
      <sheetName val="メイン画面__x005f_x005f_x005f_x005f_"/>
      <sheetName val="YÖN_ÖZET_DATA"/>
      <sheetName val="看板_(2)"/>
      <sheetName val="Douai"/>
      <sheetName val="ﾏｽﾀｰ"/>
      <sheetName val="ＳＤ以下６～７月業務"/>
      <sheetName val="LBOSHEL5"/>
      <sheetName val="RACK (CB)new"/>
      <sheetName val="表紙 (改)"/>
      <sheetName val="DIST "/>
      <sheetName val="DIST_"/>
      <sheetName val="集計"/>
      <sheetName val="見出し"/>
      <sheetName val="ICベンチ比較_"/>
      <sheetName val="CHECK ความเสี่ยง"/>
      <sheetName val="Report Order"/>
      <sheetName val="DATAバンク"/>
      <sheetName val="諸元表"/>
      <sheetName val="工場・品種集計"/>
      <sheetName val="工場・課係・品種集計"/>
      <sheetName val="課係・品種集計"/>
      <sheetName val="1A"/>
      <sheetName val="前提"/>
      <sheetName val="Cycletime"/>
      <sheetName val="Breakeven_Analysis_Data1"/>
      <sheetName val="7H-3_99-13"/>
      <sheetName val="7H-3_99-101"/>
      <sheetName val="7H-3_99-111"/>
      <sheetName val="7H-3_99-121"/>
      <sheetName val="7H-3_99-21"/>
      <sheetName val="7H-3_99-31"/>
      <sheetName val="7H-3_99-41"/>
      <sheetName val="7H-3_99-51"/>
      <sheetName val="RACK_(CB)new"/>
      <sheetName val="表紙_(改)"/>
      <sheetName val="DIST_1"/>
      <sheetName val="Test"/>
      <sheetName val="パラメーター"/>
      <sheetName val="Breakeven_Analysis_Data2"/>
      <sheetName val="#ofclose__xl2"/>
      <sheetName val="Drop_list2"/>
      <sheetName val="Sales_breakdown2"/>
      <sheetName val="No_162"/>
      <sheetName val="Fiel_List2"/>
      <sheetName val="Supplier_Addresses2"/>
      <sheetName val="7H-3_99-14"/>
      <sheetName val="7H-3_99-102"/>
      <sheetName val="7H-3_99-112"/>
      <sheetName val="7H-3_99-122"/>
      <sheetName val="7H-3_99-22"/>
      <sheetName val="7H-3_99-32"/>
      <sheetName val="7H-3_99-42"/>
      <sheetName val="7H-3_99-52"/>
      <sheetName val="RACK_(CB)new1"/>
      <sheetName val="表紙_(改)1"/>
      <sheetName val="DIST_2"/>
      <sheetName val="Sheet1_(2)18"/>
      <sheetName val="Unit_Price18"/>
      <sheetName val="[LR・LTｸﾚｰﾑ分析_xls塅䕃⹌塅Et1_(2)17"/>
      <sheetName val="Production_Database_39917"/>
      <sheetName val="_LR・LTｸﾚｰﾑ分析_xls塅䕃⹌塅Et1_(2)17"/>
      <sheetName val="MPL_技連17"/>
      <sheetName val="342A_Block16"/>
      <sheetName val="〈参考〉_P_7_シフトINディテント力16"/>
      <sheetName val="ﾟ発表No_116"/>
      <sheetName val="R_GRILLE16"/>
      <sheetName val="A2_99016"/>
      <sheetName val="Side_&amp;_Pole16"/>
      <sheetName val="342E_BLOCK17"/>
      <sheetName val="SPEC_LIST16"/>
      <sheetName val="part_list_ext_crew16"/>
      <sheetName val="データシート(定地)_(2)16"/>
      <sheetName val="2-A､B_3-A16"/>
      <sheetName val="C3_N_DC改造投資16"/>
      <sheetName val="BP_volume_(2)16"/>
      <sheetName val="BP_volume16"/>
      <sheetName val="20kb_CR16"/>
      <sheetName val="summary_(BP_ISZJ_Mar'12)16"/>
      <sheetName val="PnL_2006_LE16"/>
      <sheetName val="P_116"/>
      <sheetName val="Page_3_(Samrong_UA)16"/>
      <sheetName val="Page_4_(Gateway-TF)16"/>
      <sheetName val="200P_SHEET16"/>
      <sheetName val="ap_1716"/>
      <sheetName val="NC-3_dAY16"/>
      <sheetName val="Car_Input16"/>
      <sheetName val="Table_Master16"/>
      <sheetName val="_FE_0919Cal_TP316"/>
      <sheetName val="LAY-OUT_16"/>
      <sheetName val="190BODY_EMATRIX16"/>
      <sheetName val="Master_Route6"/>
      <sheetName val="total_change&amp;add6"/>
      <sheetName val="27_進捗管理5"/>
      <sheetName val="133NPR55_69_EC6"/>
      <sheetName val="FUEL_FILLER6"/>
      <sheetName val="Data_Validation5"/>
      <sheetName val="COMMON_25"/>
      <sheetName val="日程表_3X6"/>
      <sheetName val="Distance_Master6"/>
      <sheetName val="Driver_Master6"/>
      <sheetName val="Truck_Master6"/>
      <sheetName val="Allowance_Master6"/>
      <sheetName val="FB_sepa_S26"/>
      <sheetName val="TT_(13)6"/>
      <sheetName val="Ass'y-A_(Day)6"/>
      <sheetName val="G_Van_-_Price_Build_up6"/>
      <sheetName val="Injection_Foam_(4)6"/>
      <sheetName val="EPW_06306"/>
      <sheetName val="Annual_Sales5"/>
      <sheetName val="TABLE(LINE_CODE)5"/>
      <sheetName val="Control_fml5"/>
      <sheetName val="Draft_Vehicle_Format5"/>
      <sheetName val="Pick_up6"/>
      <sheetName val="Type_I5"/>
      <sheetName val="1__Prod__(BG__TG___AC)_20166"/>
      <sheetName val="Compare_Budget_&amp;_Actual_Order6"/>
      <sheetName val="The_Rule5"/>
      <sheetName val="ES01_トルクカーブ_201211155"/>
      <sheetName val="Welding_#25"/>
      <sheetName val="Cap__Injection_5"/>
      <sheetName val="3_Idea_Sewing_5"/>
      <sheetName val="Annual_Production5"/>
      <sheetName val="RWP_335"/>
      <sheetName val="Supp_List5"/>
      <sheetName val="FI1_COVER5"/>
      <sheetName val="0-VR4_FI15"/>
      <sheetName val="Toggle_Details5"/>
      <sheetName val="HUB_4X4_OP6A_2512184"/>
      <sheetName val="ocean_voyage5"/>
      <sheetName val="11_CPU単価5"/>
      <sheetName val="08_P772報告書0305305"/>
      <sheetName val="_CV_ALL5"/>
      <sheetName val="TF_;_C-195"/>
      <sheetName val="Time_study5"/>
      <sheetName val="166N_Plist4"/>
      <sheetName val="WCAP_Phasing4"/>
      <sheetName val="Count-_Akim4"/>
      <sheetName val="Additional_Chassis4"/>
      <sheetName val="Sheet2_(3)4"/>
      <sheetName val="Vehicle_Number4"/>
      <sheetName val="GROUP_A4"/>
      <sheetName val="国内ベタ_EXCELファイル指定4"/>
      <sheetName val="CT_F_SERIES__(2)4"/>
      <sheetName val="HOLE-UNIT_TEMP5"/>
      <sheetName val="Main_Model5"/>
      <sheetName val="MAKER_LIST_&amp;_Rate_Change5"/>
      <sheetName val="Orig_Study_for_PPAP4"/>
      <sheetName val="表5-2_地区別CO2排出実績5"/>
      <sheetName val="p_no_Coil5"/>
      <sheetName val="COIL_C3-65"/>
      <sheetName val="1771_25"/>
      <sheetName val="cover_(FAD)5"/>
      <sheetName val="º½Ä²¸_P-16"/>
      <sheetName val="Key_Index5"/>
      <sheetName val="THAI_SPEC_NO_5"/>
      <sheetName val="0)_Route_Planning5"/>
      <sheetName val="D1)_Driver_List5"/>
      <sheetName val="CAP_SEW_RFRJ_Sale#2_5"/>
      <sheetName val="COIL_B-65"/>
      <sheetName val="P2_BUDGET4"/>
      <sheetName val="HUB-HOLDER_ORI_(2)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DATA_NILAI_TEST_BATCH_15"/>
      <sheetName val="PPA_-__โรงงาน_JIG5"/>
      <sheetName val="114W2次設変部品確認（組立）_(3)5"/>
      <sheetName val="_______x005f_x0015__Op3"/>
      <sheetName val="メイン画面__x005f_x0015__Op3"/>
      <sheetName val="차체부품_INS_REPORT(갑)3"/>
      <sheetName val="VAVE_Progress_Summary3"/>
      <sheetName val="Purchase_Order3"/>
      <sheetName val="Customize_Your_Purchase_Order3"/>
      <sheetName val="①　BP_vs_SPR_(TTL_Impact)3"/>
      <sheetName val="GRAFIK_CYB_2703"/>
      <sheetName val="เดือน_ธ_ค_61____(2)3"/>
      <sheetName val="Summary_Plant5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N900凯威4500&amp;4750_PP_样车FCPA评审3"/>
      <sheetName val="Over_all_FS_A4"/>
      <sheetName val="MZX_EPH暫定対策3"/>
      <sheetName val="MZX新規SPRING_ALT13"/>
      <sheetName val="MZX新規SPRING_ALT23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___PLASTIC_UP_TPIA_3"/>
      <sheetName val="PRE_BUDGET_REPORT_20123"/>
      <sheetName val="Sub_Acc3"/>
      <sheetName val="List_Line1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Maintenance_Work_Order1"/>
      <sheetName val="Data_72"/>
      <sheetName val="1_Program_Overview3"/>
      <sheetName val="Summary_Status1"/>
      <sheetName val="?????__x005f_x0015__Op2"/>
      <sheetName val="ｼｽﾃﾑ使用料ｼﾐｭﾚｰｼｮﾝ_(2)1"/>
      <sheetName val="DATA_1"/>
      <sheetName val="_______x005f_x005f_x005f_x0015_1"/>
      <sheetName val="メイン画面__x005f_x005f_x005f_x0015_1"/>
      <sheetName val="New_VL20_EURO31"/>
      <sheetName val="Reply_Sheet_(2)1"/>
      <sheetName val="6H_HSG原価1"/>
      <sheetName val="TS_SA1_Report_of_JIBUHIN1"/>
      <sheetName val="PRIMECENTER_Rack_46_U,_1000_mm1"/>
      <sheetName val="DATA__CONE3"/>
      <sheetName val="DATA__CUP3"/>
      <sheetName val="Report_Compare_PM3"/>
      <sheetName val="Data_All_3"/>
      <sheetName val="Fix_Cost_Rev_03"/>
      <sheetName val="PP_Letter_389N2"/>
      <sheetName val="ID_WORKER1"/>
      <sheetName val="DATA_FT1"/>
      <sheetName val="DATA_RAD1"/>
      <sheetName val="Process_BL_Line_C1"/>
      <sheetName val="850T_1"/>
      <sheetName val="10_PPAP&amp;Pilot1"/>
      <sheetName val="RG12_THAI_SPEC_NO_1"/>
      <sheetName val="blank_form1"/>
      <sheetName val="ตัวเลือก_ห้ามลบ1"/>
      <sheetName val="_%_PLASTIC_UP_TPIA_1"/>
      <sheetName val="3f_Volume,_Mix_&amp;_Option_rate1"/>
      <sheetName val="P_2_Price_Strategy1"/>
      <sheetName val="2f_Pricing_Strategy1"/>
      <sheetName val="Test_Data1"/>
      <sheetName val="IMV640A_DT1"/>
      <sheetName val="Status_Base1"/>
      <sheetName val="2005_Sales_breakdown1"/>
      <sheetName val="PnL_2005_LE2"/>
      <sheetName val="_______x005f_x005f_x005f_x005f_1"/>
      <sheetName val="メイン画面__x005f_x005f_x005f_x005f_1"/>
      <sheetName val="YÖN_ÖZET_DATA1"/>
      <sheetName val="看板_(2)1"/>
      <sheetName val="Daily_Receiving"/>
      <sheetName val="ｶﾑｽﾌﾟﾛｹ圧入荷重"/>
      <sheetName val="Tabelle1"/>
      <sheetName val="Test Type"/>
      <sheetName val="Staff"/>
      <sheetName val="MVAPC"/>
      <sheetName val="Fluids"/>
      <sheetName val="Nozzle Matrix"/>
      <sheetName val="TC Matrix"/>
      <sheetName val="項目別投資工数-P1"/>
      <sheetName val="Ｄ配布１"/>
      <sheetName val="E配布２"/>
      <sheetName val="Transport service price"/>
      <sheetName val="JD"/>
      <sheetName val="CR meeting Dec 2011"/>
      <sheetName val="New DYNA"/>
      <sheetName val="作業要素"/>
      <sheetName val="②"/>
      <sheetName val="IGINT10"/>
      <sheetName val="new"/>
      <sheetName val="data Ext. 3 month "/>
      <sheetName val="3.Problem"/>
      <sheetName val="data Ext. 3 month  (NEW)"/>
      <sheetName val="MP SUMMARY 202205"/>
      <sheetName val="Transport_service_price"/>
      <sheetName val="CR_meeting_Dec_2011"/>
      <sheetName val="HARGA MATERIAL"/>
      <sheetName val="ADM0298"/>
      <sheetName val="Analisa"/>
      <sheetName val="P_NAME_DWG"/>
      <sheetName val="ตัวเลือก ห้ามลบ (2)"/>
      <sheetName val="Master coil Feb'23"/>
      <sheetName val="MONTHLY"/>
      <sheetName val="Daily NG"/>
      <sheetName val="????"/>
      <sheetName val="1106-M&amp;E"/>
      <sheetName val="1105-B&amp;I-OK"/>
      <sheetName val="設備"/>
      <sheetName val="工場一般線"/>
      <sheetName val="STMspry"/>
      <sheetName val="PsychroData"/>
      <sheetName val="6594-original"/>
      <sheetName val="CELE GROUP"/>
      <sheetName val="CCtr Group"/>
      <sheetName val="Input Sheet Comp"/>
      <sheetName val="2002"/>
      <sheetName val="単価①"/>
      <sheetName val="入力情報"/>
      <sheetName val="基礎ﾃﾞｰﾀ"/>
      <sheetName val="営業明細"/>
      <sheetName val="生産開発明細"/>
      <sheetName val="届出諸元値DB"/>
      <sheetName val="?????"/>
      <sheetName val="PT-1"/>
      <sheetName val="FA023"/>
      <sheetName val="FA033"/>
      <sheetName val="FA043"/>
      <sheetName val="社員ﾃﾞｰﾀ"/>
      <sheetName val="PDP"/>
      <sheetName val="Transport_service_price1"/>
      <sheetName val="MITA"/>
      <sheetName val="ID_WORKER2"/>
      <sheetName val="DATA_FT2"/>
      <sheetName val="DATA_RAD2"/>
      <sheetName val="850T_2"/>
      <sheetName val="Reply_Sheet_(2)2"/>
      <sheetName val="10_PPAP&amp;Pilot2"/>
      <sheetName val="RG12_THAI_SPEC_NO_2"/>
      <sheetName val="Process_BL_Line_C2"/>
      <sheetName val="blank_form2"/>
      <sheetName val="ตัวเลือก_ห้ามลบ2"/>
      <sheetName val="New_DYNA"/>
      <sheetName val="CR_meeting_Dec_20111"/>
      <sheetName val="HARGA_MATERIAL"/>
      <sheetName val="data_Ext__3_month_"/>
      <sheetName val="3_Problem"/>
      <sheetName val="data_Ext__3_month__(NEW)"/>
      <sheetName val="MP_SUMMARY_202205"/>
      <sheetName val="Master_coil_Feb'23"/>
      <sheetName val="ตัวเลือก_ห้ามลบ_(2)"/>
      <sheetName val="MAT-IN"/>
      <sheetName val="Home company situation"/>
      <sheetName val="TOTAL TERM 76"/>
      <sheetName val="Graph UT-1"/>
      <sheetName val="Resumen KPMG"/>
      <sheetName val="ORDER VS. SALES"/>
      <sheetName val="総ﾃﾞｰﾀ"/>
      <sheetName val="Gap On lift gate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Bill No. 2 - Carpark"/>
      <sheetName val="13下提案Ａ．P2"/>
      <sheetName val="CHRTACCT"/>
      <sheetName val="タ行"/>
      <sheetName val="Input_Sheet_Comp"/>
      <sheetName val="CELE_GROUP"/>
      <sheetName val="CCtr_Group"/>
      <sheetName val="命令書"/>
      <sheetName val="非固内訳"/>
      <sheetName val="_%_PLASTIC_UP_TPIA_2"/>
      <sheetName val="3f_Volume,_Mix_&amp;_Option_rate2"/>
      <sheetName val="P_2_Price_Strategy2"/>
      <sheetName val="2f_Pricing_Strategy2"/>
      <sheetName val="Test_Data2"/>
      <sheetName val="IMV640A_DT2"/>
      <sheetName val="Input_Sheet_Comp1"/>
      <sheetName val="Table Data Native"/>
      <sheetName val="Table Data USD"/>
      <sheetName val="Graph รายได้ Fill In"/>
      <sheetName val="03中"/>
      <sheetName val="CP LH"/>
      <sheetName val="Graph UT-2"/>
      <sheetName val="Graph_รายได้_Fill_In"/>
      <sheetName val="code01"/>
      <sheetName val="code04"/>
      <sheetName val="現況項目分け"/>
      <sheetName val="Monthly1"/>
      <sheetName val="Monthly2"/>
      <sheetName val="company"/>
      <sheetName val="Asset Balance"/>
      <sheetName val="HMDKD"/>
      <sheetName val="時刻指定"/>
      <sheetName val="ﾁｬｰｼﾞｸｰﾗ出口温度"/>
      <sheetName val="修正"/>
      <sheetName val="7_2"/>
      <sheetName val="□5開発項目リスト適用台数"/>
      <sheetName val=" DATA"/>
      <sheetName val="事計"/>
      <sheetName val="営業費ﾃﾞｰﾀ"/>
      <sheetName val="既定値"/>
      <sheetName val="製造原価"/>
      <sheetName val="計算ｼｰﾄ"/>
      <sheetName val="E_管理"/>
      <sheetName val="Proses_Mesin"/>
      <sheetName val="原価表"/>
      <sheetName val="TIRE読み替#REF!#REF!表"/>
      <sheetName val="PS 1"/>
      <sheetName val="PSX-01"/>
      <sheetName val="3"/>
      <sheetName val="내역"/>
      <sheetName val="0"/>
      <sheetName val="90-2"/>
      <sheetName val="Graph_UT-2"/>
      <sheetName val="0012325740"/>
      <sheetName val="Drop Box"/>
      <sheetName val="REJECT3"/>
      <sheetName val="GTRANS"/>
      <sheetName val="06-③"/>
      <sheetName val="表紙"/>
      <sheetName val="BS_1"/>
      <sheetName val="CCM&amp;Target"/>
      <sheetName val="定数定義"/>
      <sheetName val="大日程"/>
      <sheetName val="parameter"/>
      <sheetName val="FORMAT"/>
      <sheetName val="Budget03"/>
      <sheetName val="4p"/>
      <sheetName val="社員マスター_新"/>
      <sheetName val="社員マスター入力表"/>
      <sheetName val="Disclosures"/>
      <sheetName val="BACIC"/>
      <sheetName val="スコアカード (2)"/>
      <sheetName val="Fiel_List3"/>
      <sheetName val="Fiel_List4"/>
      <sheetName val="WCAP_Phasing5"/>
      <sheetName val="Fiel_List5"/>
      <sheetName val="Truck_Master7"/>
      <sheetName val="Master_Route7"/>
      <sheetName val="total_change&amp;add7"/>
      <sheetName val="Distance_Master7"/>
      <sheetName val="Driver_Master7"/>
      <sheetName val="Allowance_Master7"/>
      <sheetName val="日程表_3X7"/>
      <sheetName val="133NPR55_69_EC7"/>
      <sheetName val="FB_sepa_S27"/>
      <sheetName val="G_Van_-_Price_Build_up7"/>
      <sheetName val="Injection_Foam_(4)7"/>
      <sheetName val="EPW_06307"/>
      <sheetName val="TT_(13)7"/>
      <sheetName val="Ass'y-A_(Day)7"/>
      <sheetName val="WCAP_Phasing6"/>
      <sheetName val="Fiel_List6"/>
      <sheetName val="Annual_Production6"/>
      <sheetName val="Pick_up7"/>
      <sheetName val="Annual_Sales6"/>
      <sheetName val="PPA_-__โรงงาน_JIG6"/>
      <sheetName val="1__Prod__(BG__TG___AC)_20167"/>
      <sheetName val="Compare_Budget_&amp;_Actual_Order7"/>
      <sheetName val="The_Rule6"/>
      <sheetName val="ES01_トルクカーブ_201211156"/>
      <sheetName val="Welding_#26"/>
      <sheetName val="Cap__Injection_6"/>
      <sheetName val="3_Idea_Sewing_6"/>
      <sheetName val="27_進捗管理6"/>
      <sheetName val="Control_fml6"/>
      <sheetName val="RWP_336"/>
      <sheetName val="DATA_NILAI_TEST_BATCH_16"/>
      <sheetName val="114W2次設変部品確認（組立）_(3)6"/>
      <sheetName val="COMMON_26"/>
      <sheetName val="Draft_Vehicle_Format6"/>
      <sheetName val="Type_I6"/>
      <sheetName val="Truck_Master8"/>
      <sheetName val="Master_Route8"/>
      <sheetName val="total_change&amp;add8"/>
      <sheetName val="Distance_Master8"/>
      <sheetName val="Driver_Master8"/>
      <sheetName val="Allowance_Master8"/>
      <sheetName val="日程表_3X8"/>
      <sheetName val="133NPR55_69_EC8"/>
      <sheetName val="FB_sepa_S28"/>
      <sheetName val="G_Van_-_Price_Build_up8"/>
      <sheetName val="Injection_Foam_(4)8"/>
      <sheetName val="EPW_06308"/>
      <sheetName val="TT_(13)8"/>
      <sheetName val="Ass'y-A_(Day)8"/>
      <sheetName val="WCAP_Phasing7"/>
      <sheetName val="Fiel_List7"/>
      <sheetName val="Annual_Production7"/>
      <sheetName val="Pick_up8"/>
      <sheetName val="Annual_Sales7"/>
      <sheetName val="PPA_-__โรงงาน_JIG7"/>
      <sheetName val="1__Prod__(BG__TG___AC)_20168"/>
      <sheetName val="Compare_Budget_&amp;_Actual_Order8"/>
      <sheetName val="The_Rule7"/>
      <sheetName val="ES01_トルクカーブ_201211157"/>
      <sheetName val="Welding_#27"/>
      <sheetName val="Cap__Injection_7"/>
      <sheetName val="3_Idea_Sewing_7"/>
      <sheetName val="27_進捗管理7"/>
      <sheetName val="Control_fml7"/>
      <sheetName val="RWP_337"/>
      <sheetName val="DATA_NILAI_TEST_BATCH_17"/>
      <sheetName val="114W2次設変部品確認（組立）_(3)7"/>
      <sheetName val="COMMON_27"/>
      <sheetName val="Draft_Vehicle_Format7"/>
      <sheetName val="Type_I7"/>
      <sheetName val="スコアカード_(2)"/>
      <sheetName val="code_ref1"/>
      <sheetName val="code_ref4"/>
      <sheetName val="DBシート"/>
      <sheetName val="TMMK Vehicle Data"/>
      <sheetName val="TMMC Vehicle Data"/>
      <sheetName val="Comparison data"/>
      <sheetName val="MVL (Adj)"/>
      <sheetName val="p_no_Coil6"/>
      <sheetName val="COIL_C3-66"/>
      <sheetName val="Data_validation6"/>
      <sheetName val="cover_(FAD)6"/>
      <sheetName val="º½Ä²¸_P-17"/>
      <sheetName val="Key_Index6"/>
      <sheetName val="表5-2_地区別CO2排出実績6"/>
      <sheetName val="THAI_SPEC_NO_6"/>
      <sheetName val="0)_Route_Planning6"/>
      <sheetName val="D1)_Driver_List6"/>
      <sheetName val="CAP_SEW_RFRJ_Sale#2_6"/>
      <sheetName val="COIL_B-66"/>
      <sheetName val="P2_BUDGET5"/>
      <sheetName val="ocean_voyage6"/>
      <sheetName val="HUB-HOLDER_ORI_(2)5"/>
      <sheetName val="11_CPU単価6"/>
      <sheetName val="08_P772報告書0305306"/>
      <sheetName val="_CV_ALL6"/>
      <sheetName val="TF_;_C-196"/>
      <sheetName val="Time_study6"/>
      <sheetName val="FUEL_FILLER7"/>
      <sheetName val="TABLE(LINE_CODE)6"/>
      <sheetName val="Main_Model6"/>
      <sheetName val="HOLE-UNIT_TEMP6"/>
      <sheetName val="Progress_Target_20195"/>
      <sheetName val="Data_Base5"/>
      <sheetName val="Over_all_FS_A5"/>
      <sheetName val="1771_26"/>
      <sheetName val="MAKER_LIST_&amp;_Rate_Change6"/>
      <sheetName val="Summary_Plant6"/>
      <sheetName val="Summary_data5"/>
      <sheetName val="Count-_Akim5"/>
      <sheetName val="Additional_Chassis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Over_all_2ND5"/>
      <sheetName val="Status_meaning5"/>
      <sheetName val="DATA__CONE4"/>
      <sheetName val="DATA__CUP4"/>
      <sheetName val="D2)_Truck_List4"/>
      <sheetName val="Report_Compare_PM4"/>
      <sheetName val="Data_All_4"/>
      <sheetName val="Fix_Cost_Rev_04"/>
      <sheetName val="PP_Letter_389N3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850T_3"/>
      <sheetName val="Reply_Sheet_(2)3"/>
      <sheetName val="10_PPAP&amp;Pilot3"/>
      <sheetName val="RG12_THAI_SPEC_NO_3"/>
      <sheetName val="ID_WORKER3"/>
      <sheetName val="DATA_FT3"/>
      <sheetName val="DATA_RAD3"/>
      <sheetName val="Process_BL_Line_C3"/>
      <sheetName val="blank_form3"/>
      <sheetName val="ตัวเลือก_ห้ามลบ3"/>
      <sheetName val="Drop_list3"/>
      <sheetName val="Transport_service_price2"/>
      <sheetName val="CR_meeting_Dec_20112"/>
      <sheetName val="New_DYNA1"/>
      <sheetName val="data_Ext__3_month_1"/>
      <sheetName val="3_Problem1"/>
      <sheetName val="data_Ext__3_month__(NEW)1"/>
      <sheetName val="HARGA_MATERIAL1"/>
      <sheetName val="MP_SUMMARY_2022051"/>
      <sheetName val="REP-2"/>
      <sheetName val="Back Data 車両重量 設計値"/>
      <sheetName val="เดือน_ธ_ค_61____(2)4"/>
      <sheetName val="GRAFIK_CYB_2704"/>
      <sheetName val="4_กราฟ__จ้างเหมา61-624"/>
      <sheetName val="SUM_TYCT1ST#040(สีโซลิค)4"/>
      <sheetName val="SUM_TYCT1ST#1D6(สีเมทาลิค4"/>
      <sheetName val="DATA_BASE_D-CAB(ห้ามลบ)4"/>
      <sheetName val="PRESS_LINE_TYCT1ST4"/>
      <sheetName val="Welding_SMM2_PRESS_TYCT1ST4"/>
      <sheetName val="Welding_SR_TYCT1ST4"/>
      <sheetName val="Paint_Line_TYCT1#040(SOLID)4"/>
      <sheetName val="Paint_Line_TYCT1#1D6(เมทาลิค)4"/>
      <sheetName val="ASSEMBLY_TYCT1ST_สีชา4"/>
      <sheetName val="Packing_TYCT1ST4"/>
      <sheetName val="+PALLET_Packing_C-CAB_TYCT1ST4"/>
      <sheetName val="ธวัตร์-Welding_SMM2_564"/>
      <sheetName val="SUM_TYCT1+PALLET(สีโซลิค)4"/>
      <sheetName val="SUM_TYCT1+PALLET(สีเมทาลิค4"/>
      <sheetName val="SUM_TYCT1+กล่องกระดาษ(สีโซลิค)4"/>
      <sheetName val="SUM_TYCT1+กล่องกระดาษ(สีเมทาลิ4"/>
      <sheetName val="+PALLET_Packing_C-CAB_TYCT14"/>
      <sheetName val="ABC_COST_TYCT1ST-040,1CO_PACK_4"/>
      <sheetName val="Net_Sales_(Monthly)_Projection4"/>
      <sheetName val="กราฟ_%_on_time_ของปัญหา4"/>
      <sheetName val="เปิดโครงการ_ท-ส_V2_TOYOTA640A4"/>
      <sheetName val="จม_เสนอDIE+INS_SIDE_OTR_V24"/>
      <sheetName val="จม_feasDIE_BASE_ROOF_V2_IMV6404"/>
      <sheetName val="แนบ1_V2_TOYOTA_IMV640A(2015)4"/>
      <sheetName val="V2_TOYOTA_640A_CAB,D-C_17-03-14"/>
      <sheetName val="แนบ_2_V2_9-3-15จากDIE_DESIGN4"/>
      <sheetName val="แนบ2_V1-7-3-15จากDIE_DESIGN4"/>
      <sheetName val="แนบ3_BEP_V2_T_IMV640A(14_06ลบ_4"/>
      <sheetName val="INTEREST_RATE(7%)4"/>
      <sheetName val="V0_27-2-15จากDIE_DESIGN4"/>
      <sheetName val="แนบ4_SUM_IMV640A_V2_DC(ในปท+1C4"/>
      <sheetName val="แนบ5_SUM_IMV640A_V2_CC(ในปท+1C4"/>
      <sheetName val="แนบ6_SUM_IMV640A_V2_DC(EDP+1CO4"/>
      <sheetName val="แนบ7_SUM_IMV640A_V2_CC(EDP+1CO4"/>
      <sheetName val="DIE_COST_V2_TOYOTA4"/>
      <sheetName val="A_J_COST_V2_TOYOTA4"/>
      <sheetName val="TRIM_COST_V2_TOYOTA4"/>
      <sheetName val="แนบ10_Press_Line(D-CAB)4"/>
      <sheetName val="แนบ11_Welding_Line_PRESS(D-CAB4"/>
      <sheetName val="แนบ12_Welding_Line_SR_D-CAB4"/>
      <sheetName val="แนบ13_Painting_D-CAB(NO_EDP+1C4"/>
      <sheetName val="แนบ14_Painting_Line_D-C(EDP+1C4"/>
      <sheetName val="แนบ15_Ass'y_Line_D-CAB(glass_s4"/>
      <sheetName val="แนบ16_Packing_Line(D-C)domesti4"/>
      <sheetName val="แนบ17_Packing_Line(D-C)export4"/>
      <sheetName val="แนบ18_Press_Line(C-CAB)4"/>
      <sheetName val="แนบ19_Welding_Line_PRESS(C-CAB4"/>
      <sheetName val="แนบ20_Welding_Line_SR(C-CAB)4"/>
      <sheetName val="แนบ21_Painting_C-CAB(NO_EDP+1C4"/>
      <sheetName val="แนบ22_Painting_C-CAB(EDP+1CO)4"/>
      <sheetName val="แนบ23_Ass'y_Line_C-CAB(glass_s4"/>
      <sheetName val="แนบ24_Packing_Line(C-C)domesti4"/>
      <sheetName val="แนบ25_Packing_Line(C-C)export4"/>
      <sheetName val="DATA_BASE_C-CABห้ามลบ4"/>
      <sheetName val="TRIM_PART_แยกกลุ่มย่อย4"/>
      <sheetName val="DRY_VAN__ปะหน้า_QA_SMT-2ตั้ม4"/>
      <sheetName val="Bracket_0M011,134"/>
      <sheetName val="___PLASTIC_UP_TPIA_4"/>
      <sheetName val="PRE_BUDGET_REPORT_20124"/>
      <sheetName val="_%_PLASTIC_UP_TPIA_3"/>
      <sheetName val="3f_Volume,_Mix_&amp;_Option_rate3"/>
      <sheetName val="P_2_Price_Strategy3"/>
      <sheetName val="2f_Pricing_Strategy3"/>
      <sheetName val="Test_Data3"/>
      <sheetName val="Sub_Acc4"/>
      <sheetName val="IMV640A_DT3"/>
      <sheetName val="Status_Base2"/>
      <sheetName val="Input_Sheet_Comp2"/>
      <sheetName val="CELE_GROUP1"/>
      <sheetName val="CCtr_Group1"/>
      <sheetName val="Daily_Receiving1"/>
      <sheetName val="CP_LH"/>
      <sheetName val="Graph_รายได้_Fill_In1"/>
      <sheetName val="Graph_UT-1"/>
      <sheetName val="Table_Data_Native"/>
      <sheetName val="Table_Data_USD"/>
      <sheetName val="N1A07"/>
      <sheetName val="N1A15"/>
      <sheetName val="o"/>
      <sheetName val="Time_Measurement"/>
      <sheetName val="Adv to vendor"/>
      <sheetName val="GRAFIK_CYB_2705"/>
      <sheetName val="เดือน_ธ_ค_61____(2)5"/>
      <sheetName val="4_กราฟ__จ้างเหมา61-625"/>
      <sheetName val="SUM_TYCT1ST#040(สีโซลิค)5"/>
      <sheetName val="SUM_TYCT1ST#1D6(สีเมทาลิค5"/>
      <sheetName val="DATA_BASE_D-CAB(ห้ามลบ)5"/>
      <sheetName val="PRESS_LINE_TYCT1ST5"/>
      <sheetName val="Welding_SMM2_PRESS_TYCT1ST5"/>
      <sheetName val="Welding_SR_TYCT1ST5"/>
      <sheetName val="Paint_Line_TYCT1#040(SOLID)5"/>
      <sheetName val="Paint_Line_TYCT1#1D6(เมทาลิค)5"/>
      <sheetName val="ASSEMBLY_TYCT1ST_สีชา5"/>
      <sheetName val="Packing_TYCT1ST5"/>
      <sheetName val="+PALLET_Packing_C-CAB_TYCT1ST5"/>
      <sheetName val="ธวัตร์-Welding_SMM2_565"/>
      <sheetName val="SUM_TYCT1+PALLET(สีโซลิค)5"/>
      <sheetName val="SUM_TYCT1+PALLET(สีเมทาลิค5"/>
      <sheetName val="SUM_TYCT1+กล่องกระดาษ(สีโซลิค)5"/>
      <sheetName val="SUM_TYCT1+กล่องกระดาษ(สีเมทาลิ5"/>
      <sheetName val="+PALLET_Packing_C-CAB_TYCT15"/>
      <sheetName val="ABC_COST_TYCT1ST-040,1CO_PACK_5"/>
      <sheetName val="Net_Sales_(Monthly)_Projection5"/>
      <sheetName val="กราฟ_%_on_time_ของปัญหา5"/>
      <sheetName val="เปิดโครงการ_ท-ส_V2_TOYOTA640A5"/>
      <sheetName val="จม_เสนอDIE+INS_SIDE_OTR_V25"/>
      <sheetName val="จม_feasDIE_BASE_ROOF_V2_IMV6405"/>
      <sheetName val="แนบ1_V2_TOYOTA_IMV640A(2015)5"/>
      <sheetName val="V2_TOYOTA_640A_CAB,D-C_17-03-16"/>
      <sheetName val="แนบ_2_V2_9-3-15จากDIE_DESIGN5"/>
      <sheetName val="แนบ2_V1-7-3-15จากDIE_DESIGN5"/>
      <sheetName val="แนบ3_BEP_V2_T_IMV640A(14_06ลบ_5"/>
      <sheetName val="INTEREST_RATE(7%)5"/>
      <sheetName val="V0_27-2-15จากDIE_DESIGN5"/>
      <sheetName val="แนบ4_SUM_IMV640A_V2_DC(ในปท+1C5"/>
      <sheetName val="แนบ5_SUM_IMV640A_V2_CC(ในปท+1C5"/>
      <sheetName val="แนบ6_SUM_IMV640A_V2_DC(EDP+1CO5"/>
      <sheetName val="แนบ7_SUM_IMV640A_V2_CC(EDP+1CO5"/>
      <sheetName val="DIE_COST_V2_TOYOTA5"/>
      <sheetName val="A_J_COST_V2_TOYOTA5"/>
      <sheetName val="TRIM_COST_V2_TOYOTA5"/>
      <sheetName val="แนบ10_Press_Line(D-CAB)5"/>
      <sheetName val="แนบ11_Welding_Line_PRESS(D-CAB5"/>
      <sheetName val="แนบ12_Welding_Line_SR_D-CAB5"/>
      <sheetName val="แนบ13_Painting_D-CAB(NO_EDP+1C5"/>
      <sheetName val="แนบ14_Painting_Line_D-C(EDP+1C5"/>
      <sheetName val="แนบ15_Ass'y_Line_D-CAB(glass_s5"/>
      <sheetName val="แนบ16_Packing_Line(D-C)domesti5"/>
      <sheetName val="แนบ17_Packing_Line(D-C)export5"/>
      <sheetName val="แนบ18_Press_Line(C-CAB)5"/>
      <sheetName val="แนบ19_Welding_Line_PRESS(C-CAB5"/>
      <sheetName val="แนบ20_Welding_Line_SR(C-CAB)5"/>
      <sheetName val="แนบ21_Painting_C-CAB(NO_EDP+1C5"/>
      <sheetName val="แนบ22_Painting_C-CAB(EDP+1CO)5"/>
      <sheetName val="แนบ23_Ass'y_Line_C-CAB(glass_s5"/>
      <sheetName val="แนบ24_Packing_Line(C-C)domesti5"/>
      <sheetName val="แนบ25_Packing_Line(C-C)export5"/>
      <sheetName val="DATA_BASE_C-CABห้ามลบ5"/>
      <sheetName val="TRIM_PART_แยกกลุ่มย่อย5"/>
      <sheetName val="DRY_VAN__ปะหน้า_QA_SMT-2ตั้ม5"/>
      <sheetName val="Bracket_0M011,135"/>
      <sheetName val="___PLASTIC_UP_TPIA_5"/>
      <sheetName val="PRE_BUDGET_REPORT_20125"/>
      <sheetName val="_%_PLASTIC_UP_TPIA_4"/>
      <sheetName val="3f_Volume,_Mix_&amp;_Option_rate4"/>
      <sheetName val="P_2_Price_Strategy4"/>
      <sheetName val="2f_Pricing_Strategy4"/>
      <sheetName val="Test_Data4"/>
      <sheetName val="Sub_Acc5"/>
      <sheetName val="IMV640A_DT4"/>
      <sheetName val="Status_Base3"/>
      <sheetName val="Input_Sheet_Comp3"/>
      <sheetName val="CELE_GROUP2"/>
      <sheetName val="CCtr_Group2"/>
      <sheetName val="Daily_Receiving2"/>
      <sheetName val="Table_Data_Native1"/>
      <sheetName val="Table_Data_USD1"/>
      <sheetName val="作業日報"/>
      <sheetName val="Header"/>
      <sheetName val="ﾌﾟﾚｽ"/>
      <sheetName val="日程表0722"/>
      <sheetName val="JT3.0견적-구1"/>
      <sheetName val="Appendix8"/>
      <sheetName val="ﾄﾞﾛｯﾌﾟﾀﾞｳﾝﾘｽ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2">
          <cell r="A2">
            <v>1</v>
          </cell>
        </row>
      </sheetData>
      <sheetData sheetId="271">
        <row r="2">
          <cell r="A2">
            <v>1</v>
          </cell>
        </row>
      </sheetData>
      <sheetData sheetId="272">
        <row r="2">
          <cell r="A2">
            <v>1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/>
      <sheetData sheetId="366"/>
      <sheetData sheetId="367"/>
      <sheetData sheetId="368"/>
      <sheetData sheetId="369" refreshError="1"/>
      <sheetData sheetId="370"/>
      <sheetData sheetId="37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2">
          <cell r="A2">
            <v>1</v>
          </cell>
        </row>
      </sheetData>
      <sheetData sheetId="405">
        <row r="2">
          <cell r="A2">
            <v>1</v>
          </cell>
        </row>
      </sheetData>
      <sheetData sheetId="406">
        <row r="2">
          <cell r="A2">
            <v>1</v>
          </cell>
        </row>
      </sheetData>
      <sheetData sheetId="407">
        <row r="2">
          <cell r="A2">
            <v>1</v>
          </cell>
        </row>
      </sheetData>
      <sheetData sheetId="408">
        <row r="2">
          <cell r="A2">
            <v>1</v>
          </cell>
        </row>
      </sheetData>
      <sheetData sheetId="409">
        <row r="2">
          <cell r="A2">
            <v>1</v>
          </cell>
        </row>
      </sheetData>
      <sheetData sheetId="410">
        <row r="2">
          <cell r="A2">
            <v>1</v>
          </cell>
        </row>
      </sheetData>
      <sheetData sheetId="411">
        <row r="2">
          <cell r="A2">
            <v>1</v>
          </cell>
        </row>
      </sheetData>
      <sheetData sheetId="412">
        <row r="2">
          <cell r="A2">
            <v>1</v>
          </cell>
        </row>
      </sheetData>
      <sheetData sheetId="413">
        <row r="2">
          <cell r="A2">
            <v>1</v>
          </cell>
        </row>
      </sheetData>
      <sheetData sheetId="414">
        <row r="2">
          <cell r="A2">
            <v>1</v>
          </cell>
        </row>
      </sheetData>
      <sheetData sheetId="415">
        <row r="2">
          <cell r="A2">
            <v>1</v>
          </cell>
        </row>
      </sheetData>
      <sheetData sheetId="416">
        <row r="2">
          <cell r="A2">
            <v>1</v>
          </cell>
        </row>
      </sheetData>
      <sheetData sheetId="417">
        <row r="2">
          <cell r="A2">
            <v>1</v>
          </cell>
        </row>
      </sheetData>
      <sheetData sheetId="418">
        <row r="2">
          <cell r="A2">
            <v>1</v>
          </cell>
        </row>
      </sheetData>
      <sheetData sheetId="419">
        <row r="2">
          <cell r="A2">
            <v>1</v>
          </cell>
        </row>
      </sheetData>
      <sheetData sheetId="420">
        <row r="2">
          <cell r="A2">
            <v>1</v>
          </cell>
        </row>
      </sheetData>
      <sheetData sheetId="421">
        <row r="2">
          <cell r="A2">
            <v>1</v>
          </cell>
        </row>
      </sheetData>
      <sheetData sheetId="422">
        <row r="2">
          <cell r="A2">
            <v>1</v>
          </cell>
        </row>
      </sheetData>
      <sheetData sheetId="423">
        <row r="2">
          <cell r="A2">
            <v>1</v>
          </cell>
        </row>
      </sheetData>
      <sheetData sheetId="424">
        <row r="2">
          <cell r="A2">
            <v>1</v>
          </cell>
        </row>
      </sheetData>
      <sheetData sheetId="425">
        <row r="2">
          <cell r="A2">
            <v>1</v>
          </cell>
        </row>
      </sheetData>
      <sheetData sheetId="426">
        <row r="2">
          <cell r="A2">
            <v>1</v>
          </cell>
        </row>
      </sheetData>
      <sheetData sheetId="427">
        <row r="2">
          <cell r="A2">
            <v>1</v>
          </cell>
        </row>
      </sheetData>
      <sheetData sheetId="428">
        <row r="2">
          <cell r="A2">
            <v>1</v>
          </cell>
        </row>
      </sheetData>
      <sheetData sheetId="429">
        <row r="2">
          <cell r="A2">
            <v>1</v>
          </cell>
        </row>
      </sheetData>
      <sheetData sheetId="430">
        <row r="2">
          <cell r="A2">
            <v>1</v>
          </cell>
        </row>
      </sheetData>
      <sheetData sheetId="431">
        <row r="2">
          <cell r="A2">
            <v>1</v>
          </cell>
        </row>
      </sheetData>
      <sheetData sheetId="432">
        <row r="2">
          <cell r="A2">
            <v>1</v>
          </cell>
        </row>
      </sheetData>
      <sheetData sheetId="433">
        <row r="2">
          <cell r="A2">
            <v>1</v>
          </cell>
        </row>
      </sheetData>
      <sheetData sheetId="434">
        <row r="2">
          <cell r="A2">
            <v>1</v>
          </cell>
        </row>
      </sheetData>
      <sheetData sheetId="435">
        <row r="2">
          <cell r="A2">
            <v>1</v>
          </cell>
        </row>
      </sheetData>
      <sheetData sheetId="436">
        <row r="2">
          <cell r="A2">
            <v>1</v>
          </cell>
        </row>
      </sheetData>
      <sheetData sheetId="437">
        <row r="2">
          <cell r="A2">
            <v>1</v>
          </cell>
        </row>
      </sheetData>
      <sheetData sheetId="438">
        <row r="2">
          <cell r="A2">
            <v>1</v>
          </cell>
        </row>
      </sheetData>
      <sheetData sheetId="439">
        <row r="2">
          <cell r="A2">
            <v>1</v>
          </cell>
        </row>
      </sheetData>
      <sheetData sheetId="440">
        <row r="2">
          <cell r="A2">
            <v>1</v>
          </cell>
        </row>
      </sheetData>
      <sheetData sheetId="441">
        <row r="2">
          <cell r="A2">
            <v>1</v>
          </cell>
        </row>
      </sheetData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>
        <row r="2">
          <cell r="A2">
            <v>1</v>
          </cell>
        </row>
      </sheetData>
      <sheetData sheetId="445">
        <row r="2">
          <cell r="A2">
            <v>1</v>
          </cell>
        </row>
      </sheetData>
      <sheetData sheetId="446">
        <row r="2">
          <cell r="A2">
            <v>1</v>
          </cell>
        </row>
      </sheetData>
      <sheetData sheetId="447">
        <row r="2">
          <cell r="A2">
            <v>1</v>
          </cell>
        </row>
      </sheetData>
      <sheetData sheetId="448">
        <row r="2">
          <cell r="A2">
            <v>1</v>
          </cell>
        </row>
      </sheetData>
      <sheetData sheetId="449">
        <row r="2">
          <cell r="A2">
            <v>1</v>
          </cell>
        </row>
      </sheetData>
      <sheetData sheetId="450">
        <row r="2">
          <cell r="A2">
            <v>1</v>
          </cell>
        </row>
      </sheetData>
      <sheetData sheetId="451">
        <row r="2">
          <cell r="A2">
            <v>1</v>
          </cell>
        </row>
      </sheetData>
      <sheetData sheetId="452">
        <row r="2">
          <cell r="A2">
            <v>1</v>
          </cell>
        </row>
      </sheetData>
      <sheetData sheetId="453">
        <row r="2">
          <cell r="A2">
            <v>1</v>
          </cell>
        </row>
      </sheetData>
      <sheetData sheetId="454">
        <row r="2">
          <cell r="A2">
            <v>1</v>
          </cell>
        </row>
      </sheetData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 refreshError="1"/>
      <sheetData sheetId="503">
        <row r="2">
          <cell r="A2">
            <v>1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>
        <row r="2">
          <cell r="A2">
            <v>1</v>
          </cell>
        </row>
      </sheetData>
      <sheetData sheetId="521">
        <row r="2">
          <cell r="A2">
            <v>1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>
        <row r="2">
          <cell r="A2">
            <v>1</v>
          </cell>
        </row>
      </sheetData>
      <sheetData sheetId="644">
        <row r="2">
          <cell r="A2">
            <v>1</v>
          </cell>
        </row>
      </sheetData>
      <sheetData sheetId="645">
        <row r="2">
          <cell r="A2">
            <v>1</v>
          </cell>
        </row>
      </sheetData>
      <sheetData sheetId="646">
        <row r="2">
          <cell r="A2">
            <v>1</v>
          </cell>
        </row>
      </sheetData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>
        <row r="2">
          <cell r="A2">
            <v>1</v>
          </cell>
        </row>
      </sheetData>
      <sheetData sheetId="650">
        <row r="2">
          <cell r="A2">
            <v>1</v>
          </cell>
        </row>
      </sheetData>
      <sheetData sheetId="651">
        <row r="2">
          <cell r="A2">
            <v>1</v>
          </cell>
        </row>
      </sheetData>
      <sheetData sheetId="652">
        <row r="2">
          <cell r="A2">
            <v>1</v>
          </cell>
        </row>
      </sheetData>
      <sheetData sheetId="653">
        <row r="2">
          <cell r="A2">
            <v>1</v>
          </cell>
        </row>
      </sheetData>
      <sheetData sheetId="654">
        <row r="2">
          <cell r="A2">
            <v>1</v>
          </cell>
        </row>
      </sheetData>
      <sheetData sheetId="655">
        <row r="2">
          <cell r="A2">
            <v>1</v>
          </cell>
        </row>
      </sheetData>
      <sheetData sheetId="656">
        <row r="2">
          <cell r="A2">
            <v>1</v>
          </cell>
        </row>
      </sheetData>
      <sheetData sheetId="657">
        <row r="2">
          <cell r="A2">
            <v>1</v>
          </cell>
        </row>
      </sheetData>
      <sheetData sheetId="658">
        <row r="2">
          <cell r="A2">
            <v>1</v>
          </cell>
        </row>
      </sheetData>
      <sheetData sheetId="659">
        <row r="2">
          <cell r="A2">
            <v>1</v>
          </cell>
        </row>
      </sheetData>
      <sheetData sheetId="660">
        <row r="2">
          <cell r="A2">
            <v>1</v>
          </cell>
        </row>
      </sheetData>
      <sheetData sheetId="661">
        <row r="2">
          <cell r="A2">
            <v>1</v>
          </cell>
        </row>
      </sheetData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>
        <row r="2">
          <cell r="A2">
            <v>1</v>
          </cell>
        </row>
      </sheetData>
      <sheetData sheetId="670">
        <row r="2">
          <cell r="A2">
            <v>1</v>
          </cell>
        </row>
      </sheetData>
      <sheetData sheetId="671">
        <row r="2">
          <cell r="A2">
            <v>1</v>
          </cell>
        </row>
      </sheetData>
      <sheetData sheetId="672">
        <row r="2">
          <cell r="A2">
            <v>1</v>
          </cell>
        </row>
      </sheetData>
      <sheetData sheetId="673">
        <row r="2">
          <cell r="A2">
            <v>1</v>
          </cell>
        </row>
      </sheetData>
      <sheetData sheetId="674">
        <row r="2">
          <cell r="A2">
            <v>1</v>
          </cell>
        </row>
      </sheetData>
      <sheetData sheetId="675">
        <row r="2">
          <cell r="A2">
            <v>1</v>
          </cell>
        </row>
      </sheetData>
      <sheetData sheetId="676">
        <row r="2">
          <cell r="A2">
            <v>1</v>
          </cell>
        </row>
      </sheetData>
      <sheetData sheetId="677">
        <row r="2">
          <cell r="A2">
            <v>1</v>
          </cell>
        </row>
      </sheetData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>
        <row r="2">
          <cell r="A2">
            <v>1</v>
          </cell>
        </row>
      </sheetData>
      <sheetData sheetId="1364">
        <row r="2">
          <cell r="A2">
            <v>1</v>
          </cell>
        </row>
      </sheetData>
      <sheetData sheetId="1365">
        <row r="2">
          <cell r="A2">
            <v>1</v>
          </cell>
        </row>
      </sheetData>
      <sheetData sheetId="1366">
        <row r="2">
          <cell r="A2">
            <v>1</v>
          </cell>
        </row>
      </sheetData>
      <sheetData sheetId="1367">
        <row r="2">
          <cell r="A2">
            <v>1</v>
          </cell>
        </row>
      </sheetData>
      <sheetData sheetId="1368">
        <row r="2">
          <cell r="A2">
            <v>1</v>
          </cell>
        </row>
      </sheetData>
      <sheetData sheetId="1369">
        <row r="2">
          <cell r="A2">
            <v>1</v>
          </cell>
        </row>
      </sheetData>
      <sheetData sheetId="1370">
        <row r="2">
          <cell r="A2">
            <v>1</v>
          </cell>
        </row>
      </sheetData>
      <sheetData sheetId="1371">
        <row r="2">
          <cell r="A2">
            <v>1</v>
          </cell>
        </row>
      </sheetData>
      <sheetData sheetId="1372">
        <row r="2">
          <cell r="A2">
            <v>1</v>
          </cell>
        </row>
      </sheetData>
      <sheetData sheetId="1373">
        <row r="2">
          <cell r="A2">
            <v>1</v>
          </cell>
        </row>
      </sheetData>
      <sheetData sheetId="1374">
        <row r="2">
          <cell r="A2">
            <v>1</v>
          </cell>
        </row>
      </sheetData>
      <sheetData sheetId="1375">
        <row r="2">
          <cell r="A2">
            <v>1</v>
          </cell>
        </row>
      </sheetData>
      <sheetData sheetId="1376">
        <row r="2">
          <cell r="A2">
            <v>1</v>
          </cell>
        </row>
      </sheetData>
      <sheetData sheetId="1377">
        <row r="2">
          <cell r="A2">
            <v>1</v>
          </cell>
        </row>
      </sheetData>
      <sheetData sheetId="1378">
        <row r="2">
          <cell r="A2">
            <v>1</v>
          </cell>
        </row>
      </sheetData>
      <sheetData sheetId="1379">
        <row r="2">
          <cell r="A2">
            <v>1</v>
          </cell>
        </row>
      </sheetData>
      <sheetData sheetId="1380">
        <row r="2">
          <cell r="A2">
            <v>1</v>
          </cell>
        </row>
      </sheetData>
      <sheetData sheetId="1381">
        <row r="2">
          <cell r="A2">
            <v>1</v>
          </cell>
        </row>
      </sheetData>
      <sheetData sheetId="1382">
        <row r="2">
          <cell r="A2">
            <v>1</v>
          </cell>
        </row>
      </sheetData>
      <sheetData sheetId="1383">
        <row r="2">
          <cell r="A2">
            <v>1</v>
          </cell>
        </row>
      </sheetData>
      <sheetData sheetId="1384">
        <row r="2">
          <cell r="A2">
            <v>1</v>
          </cell>
        </row>
      </sheetData>
      <sheetData sheetId="1385"/>
      <sheetData sheetId="1386">
        <row r="2">
          <cell r="A2">
            <v>1</v>
          </cell>
        </row>
      </sheetData>
      <sheetData sheetId="1387">
        <row r="2">
          <cell r="A2">
            <v>1</v>
          </cell>
        </row>
      </sheetData>
      <sheetData sheetId="1388">
        <row r="2">
          <cell r="A2">
            <v>1</v>
          </cell>
        </row>
      </sheetData>
      <sheetData sheetId="1389">
        <row r="2">
          <cell r="A2">
            <v>1</v>
          </cell>
        </row>
      </sheetData>
      <sheetData sheetId="1390">
        <row r="2">
          <cell r="A2">
            <v>1</v>
          </cell>
        </row>
      </sheetData>
      <sheetData sheetId="1391">
        <row r="2">
          <cell r="A2">
            <v>1</v>
          </cell>
        </row>
      </sheetData>
      <sheetData sheetId="1392">
        <row r="2">
          <cell r="A2">
            <v>1</v>
          </cell>
        </row>
      </sheetData>
      <sheetData sheetId="1393">
        <row r="2">
          <cell r="A2">
            <v>1</v>
          </cell>
        </row>
      </sheetData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>
        <row r="2">
          <cell r="A2">
            <v>1</v>
          </cell>
        </row>
      </sheetData>
      <sheetData sheetId="1408">
        <row r="2">
          <cell r="A2">
            <v>1</v>
          </cell>
        </row>
      </sheetData>
      <sheetData sheetId="1409">
        <row r="2">
          <cell r="A2">
            <v>1</v>
          </cell>
        </row>
      </sheetData>
      <sheetData sheetId="1410">
        <row r="2">
          <cell r="A2">
            <v>1</v>
          </cell>
        </row>
      </sheetData>
      <sheetData sheetId="1411">
        <row r="2">
          <cell r="A2">
            <v>1</v>
          </cell>
        </row>
      </sheetData>
      <sheetData sheetId="1412">
        <row r="2">
          <cell r="A2">
            <v>1</v>
          </cell>
        </row>
      </sheetData>
      <sheetData sheetId="1413">
        <row r="2">
          <cell r="A2">
            <v>1</v>
          </cell>
        </row>
      </sheetData>
      <sheetData sheetId="1414">
        <row r="2">
          <cell r="A2">
            <v>1</v>
          </cell>
        </row>
      </sheetData>
      <sheetData sheetId="1415">
        <row r="2">
          <cell r="A2">
            <v>1</v>
          </cell>
        </row>
      </sheetData>
      <sheetData sheetId="1416">
        <row r="2">
          <cell r="A2">
            <v>1</v>
          </cell>
        </row>
      </sheetData>
      <sheetData sheetId="1417">
        <row r="2">
          <cell r="A2">
            <v>1</v>
          </cell>
        </row>
      </sheetData>
      <sheetData sheetId="1418">
        <row r="2">
          <cell r="A2">
            <v>1</v>
          </cell>
        </row>
      </sheetData>
      <sheetData sheetId="1419">
        <row r="2">
          <cell r="A2">
            <v>1</v>
          </cell>
        </row>
      </sheetData>
      <sheetData sheetId="1420">
        <row r="2">
          <cell r="A2">
            <v>1</v>
          </cell>
        </row>
      </sheetData>
      <sheetData sheetId="1421">
        <row r="2">
          <cell r="A2">
            <v>1</v>
          </cell>
        </row>
      </sheetData>
      <sheetData sheetId="1422">
        <row r="2">
          <cell r="A2">
            <v>1</v>
          </cell>
        </row>
      </sheetData>
      <sheetData sheetId="1423">
        <row r="2">
          <cell r="A2">
            <v>1</v>
          </cell>
        </row>
      </sheetData>
      <sheetData sheetId="1424">
        <row r="2">
          <cell r="A2">
            <v>1</v>
          </cell>
        </row>
      </sheetData>
      <sheetData sheetId="1425"/>
      <sheetData sheetId="1426"/>
      <sheetData sheetId="1427">
        <row r="2">
          <cell r="A2">
            <v>1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>
        <row r="2">
          <cell r="A2">
            <v>1</v>
          </cell>
        </row>
      </sheetData>
      <sheetData sheetId="1478"/>
      <sheetData sheetId="1479">
        <row r="2">
          <cell r="A2">
            <v>1</v>
          </cell>
        </row>
      </sheetData>
      <sheetData sheetId="1480">
        <row r="2">
          <cell r="A2">
            <v>1</v>
          </cell>
        </row>
      </sheetData>
      <sheetData sheetId="1481">
        <row r="2">
          <cell r="A2">
            <v>1</v>
          </cell>
        </row>
      </sheetData>
      <sheetData sheetId="1482">
        <row r="2">
          <cell r="A2">
            <v>1</v>
          </cell>
        </row>
      </sheetData>
      <sheetData sheetId="1483">
        <row r="2">
          <cell r="A2">
            <v>1</v>
          </cell>
        </row>
      </sheetData>
      <sheetData sheetId="1484">
        <row r="2">
          <cell r="A2">
            <v>1</v>
          </cell>
        </row>
      </sheetData>
      <sheetData sheetId="1485">
        <row r="2">
          <cell r="A2">
            <v>1</v>
          </cell>
        </row>
      </sheetData>
      <sheetData sheetId="1486">
        <row r="2">
          <cell r="A2">
            <v>1</v>
          </cell>
        </row>
      </sheetData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2">
          <cell r="A2">
            <v>1</v>
          </cell>
        </row>
      </sheetData>
      <sheetData sheetId="1588">
        <row r="2">
          <cell r="A2">
            <v>1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>
        <row r="2">
          <cell r="A2">
            <v>1</v>
          </cell>
        </row>
      </sheetData>
      <sheetData sheetId="1601">
        <row r="2">
          <cell r="A2">
            <v>1</v>
          </cell>
        </row>
      </sheetData>
      <sheetData sheetId="1602"/>
      <sheetData sheetId="1603"/>
      <sheetData sheetId="1604"/>
      <sheetData sheetId="1605"/>
      <sheetData sheetId="1606"/>
      <sheetData sheetId="1607"/>
      <sheetData sheetId="1608"/>
      <sheetData sheetId="1609">
        <row r="2">
          <cell r="A2">
            <v>1</v>
          </cell>
        </row>
      </sheetData>
      <sheetData sheetId="1610">
        <row r="2">
          <cell r="A2">
            <v>1</v>
          </cell>
        </row>
      </sheetData>
      <sheetData sheetId="1611">
        <row r="2">
          <cell r="A2">
            <v>1</v>
          </cell>
        </row>
      </sheetData>
      <sheetData sheetId="1612"/>
      <sheetData sheetId="1613"/>
      <sheetData sheetId="1614"/>
      <sheetData sheetId="1615">
        <row r="2">
          <cell r="A2">
            <v>1</v>
          </cell>
        </row>
      </sheetData>
      <sheetData sheetId="1616">
        <row r="2">
          <cell r="A2">
            <v>1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>
        <row r="2">
          <cell r="A2">
            <v>1</v>
          </cell>
        </row>
      </sheetData>
      <sheetData sheetId="1632">
        <row r="2">
          <cell r="A2">
            <v>1</v>
          </cell>
        </row>
      </sheetData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>
        <row r="2">
          <cell r="A2">
            <v>1</v>
          </cell>
        </row>
      </sheetData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>
        <row r="2">
          <cell r="A2">
            <v>1</v>
          </cell>
        </row>
      </sheetData>
      <sheetData sheetId="1970">
        <row r="2">
          <cell r="A2">
            <v>1</v>
          </cell>
        </row>
      </sheetData>
      <sheetData sheetId="1971"/>
      <sheetData sheetId="1972"/>
      <sheetData sheetId="1973">
        <row r="2">
          <cell r="A2">
            <v>1</v>
          </cell>
        </row>
      </sheetData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 refreshError="1"/>
      <sheetData sheetId="2189" refreshError="1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/>
      <sheetData sheetId="2556" refreshError="1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 refreshError="1"/>
      <sheetData sheetId="2579" refreshError="1"/>
      <sheetData sheetId="2580"/>
      <sheetData sheetId="2581"/>
      <sheetData sheetId="2582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Book5"/>
      <sheetName val="ENG油洩れ"/>
    </sheetNames>
    <definedNames>
      <definedName name="選択_D510"/>
      <definedName name="選択_P30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選択_D510"/>
      <definedName name="選択_P30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年1月版販売計画1月版TOASTデータ"/>
      <sheetName val="ピポット"/>
      <sheetName val="上期"/>
      <sheetName val="下期"/>
      <sheetName val="年間"/>
      <sheetName val="年間％"/>
      <sheetName val="4"/>
      <sheetName val="5"/>
      <sheetName val="6"/>
      <sheetName val="7"/>
      <sheetName val="8"/>
      <sheetName val="9"/>
      <sheetName val="2002年1月版販売計画TOASTデータ"/>
      <sheetName val="Feuil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">
          <cell r="E12">
            <v>0</v>
          </cell>
        </row>
        <row r="13">
          <cell r="E13">
            <v>710</v>
          </cell>
        </row>
        <row r="14">
          <cell r="E14">
            <v>0</v>
          </cell>
        </row>
        <row r="15">
          <cell r="E15">
            <v>14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20">
          <cell r="E20">
            <v>169</v>
          </cell>
        </row>
        <row r="21">
          <cell r="E21">
            <v>0</v>
          </cell>
        </row>
        <row r="22">
          <cell r="E22">
            <v>262</v>
          </cell>
        </row>
        <row r="23">
          <cell r="E23">
            <v>0</v>
          </cell>
        </row>
        <row r="24">
          <cell r="E24">
            <v>0</v>
          </cell>
        </row>
        <row r="26">
          <cell r="E26">
            <v>389</v>
          </cell>
        </row>
        <row r="27">
          <cell r="E27">
            <v>122</v>
          </cell>
        </row>
        <row r="28">
          <cell r="E28">
            <v>6</v>
          </cell>
        </row>
        <row r="29">
          <cell r="E29">
            <v>3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8">
          <cell r="E38">
            <v>416</v>
          </cell>
        </row>
        <row r="39">
          <cell r="E39">
            <v>87</v>
          </cell>
        </row>
        <row r="40">
          <cell r="E40">
            <v>0</v>
          </cell>
        </row>
        <row r="42">
          <cell r="E42">
            <v>64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(a) (2)"/>
      <sheetName val="ﾄﾞﾛｯﾌﾟﾀﾞｳﾝLIST (2)"/>
      <sheetName val="ﾄﾞﾛｯﾌﾟﾀﾞｳﾝLIST"/>
      <sheetName val="進度表"/>
      <sheetName val="Sheet1"/>
      <sheetName val="不良ﾃﾞｰﾀ資料"/>
      <sheetName val="7"/>
      <sheetName val="北辰"/>
      <sheetName val="小山"/>
      <sheetName val="榛名"/>
      <sheetName val="Book3"/>
      <sheetName val="診断結果"/>
      <sheetName val="日産呼称DATA"/>
      <sheetName val="Ｔｅｍｐ"/>
      <sheetName val="MOTO"/>
      <sheetName val="Position table"/>
      <sheetName val="対象部番一覧"/>
      <sheetName val="??????????LIST (2)"/>
      <sheetName val="Poland HL"/>
      <sheetName val="0409"/>
      <sheetName val="__________LIST (2)"/>
      <sheetName val="設計・生準不具合_原紙(a)_(2)"/>
      <sheetName val="ﾄﾞﾛｯﾌﾟﾀﾞｳﾝLIST_(2)"/>
      <sheetName val="Position_table"/>
      <sheetName val="水自機械"/>
      <sheetName val="リスト"/>
      <sheetName val="勤怠表"/>
      <sheetName val="data"/>
      <sheetName val="2月"/>
      <sheetName val="3月"/>
      <sheetName val="業務コード"/>
      <sheetName val="ﾘｽﾄ"/>
      <sheetName val="List_data"/>
      <sheetName val="表紙"/>
      <sheetName val="Weight Break Charges"/>
      <sheetName val="AU Zone"/>
      <sheetName val="2004"/>
      <sheetName val="XV0個人"/>
      <sheetName val="投資ﾌｫﾛｰ"/>
      <sheetName val="外注納不"/>
      <sheetName val="CP LH"/>
      <sheetName val="長期前払費用"/>
      <sheetName val="114W2次設変部品確認（組立） (3)"/>
      <sheetName val="??????????LIST"/>
    </sheetNames>
    <sheetDataSet>
      <sheetData sheetId="0" refreshError="1"/>
      <sheetData sheetId="1" refreshError="1">
        <row r="5">
          <cell r="F5" t="str">
            <v>電格耐久性能</v>
          </cell>
        </row>
        <row r="6">
          <cell r="F6" t="str">
            <v>手格耐久性能</v>
          </cell>
        </row>
        <row r="7">
          <cell r="F7" t="str">
            <v>鏡面作動性能</v>
          </cell>
        </row>
        <row r="8">
          <cell r="F8" t="str">
            <v>視認性能</v>
          </cell>
        </row>
        <row r="9">
          <cell r="F9" t="str">
            <v>風音性能</v>
          </cell>
        </row>
        <row r="10">
          <cell r="F10" t="str">
            <v>剛性・強度性能</v>
          </cell>
        </row>
        <row r="11">
          <cell r="F11" t="str">
            <v>ｽﾍﾟｯｸ適合性</v>
          </cell>
        </row>
        <row r="12">
          <cell r="F12" t="str">
            <v>異音・ﾉｲｽﾞ・ｶﾞﾀ</v>
          </cell>
        </row>
        <row r="13">
          <cell r="F13" t="str">
            <v>法規適合性</v>
          </cell>
        </row>
        <row r="14">
          <cell r="F14" t="str">
            <v>くもり性能</v>
          </cell>
        </row>
        <row r="15">
          <cell r="F15" t="str">
            <v>耐水性能</v>
          </cell>
        </row>
        <row r="16">
          <cell r="F16" t="str">
            <v>耐熱性能</v>
          </cell>
        </row>
        <row r="17">
          <cell r="F17" t="str">
            <v>耐振性能</v>
          </cell>
        </row>
        <row r="18">
          <cell r="F18" t="str">
            <v>配光性能</v>
          </cell>
        </row>
        <row r="19">
          <cell r="F19" t="str">
            <v>剛性・強度性能</v>
          </cell>
        </row>
        <row r="20">
          <cell r="F20" t="str">
            <v>耐溶剤性能</v>
          </cell>
        </row>
        <row r="21">
          <cell r="F21" t="str">
            <v>ｴｲﾐﾝｸﾞ性能</v>
          </cell>
        </row>
        <row r="22">
          <cell r="F22" t="str">
            <v>異音・ﾉｲｽﾞ・ｶﾞﾀ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呼称DATA"/>
      <sheetName val="日車９７"/>
      <sheetName val="7"/>
      <sheetName val="ﾄﾞﾛｯﾌﾟﾀﾞｳﾝLIST (2)"/>
      <sheetName val="不良ﾃﾞｰﾀ資料"/>
      <sheetName val="LED-ASSY照度測定結果"/>
      <sheetName val="RFOG_T4品_LH"/>
      <sheetName val="TAIL_T4品_RH"/>
      <sheetName val="Temp"/>
      <sheetName val="Datas"/>
      <sheetName val="色仕様"/>
      <sheetName val="ﾄﾞﾛｯﾌﾟﾀﾞｳﾝLIST"/>
      <sheetName val="ﾄﾞﾛｯﾌﾟﾀﾞｳﾝLIST_(2)"/>
      <sheetName val="外注納不"/>
      <sheetName val="ﾘｽﾄ"/>
      <sheetName val="表紙"/>
      <sheetName val="内製樹脂"/>
      <sheetName val="報告書表紙"/>
      <sheetName val="納入総括"/>
      <sheetName val="GBY.C企"/>
      <sheetName val="Weight Break Charges"/>
      <sheetName val="2004"/>
      <sheetName val="購買担当"/>
      <sheetName val="国内生産（１５０万台）"/>
      <sheetName val="勤怠表"/>
      <sheetName val="ENG油洩れ"/>
      <sheetName val="設計通知"/>
      <sheetName val="電気設備表"/>
      <sheetName val="0409"/>
      <sheetName val="04-Migration"/>
      <sheetName val="品質保証責任者届"/>
      <sheetName val="日産均等"/>
      <sheetName val="Sheet1"/>
      <sheetName val="５・本（鍛造）"/>
      <sheetName val="対象部番一覧"/>
    </sheetNames>
    <sheetDataSet>
      <sheetData sheetId="0" refreshError="1">
        <row r="5">
          <cell r="B5" t="str">
            <v>079</v>
          </cell>
          <cell r="C5">
            <v>0</v>
          </cell>
          <cell r="D5">
            <v>0</v>
          </cell>
          <cell r="E5" t="str">
            <v>Y30</v>
          </cell>
          <cell r="F5" t="str">
            <v>Y30</v>
          </cell>
        </row>
        <row r="6">
          <cell r="B6" t="str">
            <v>N00</v>
          </cell>
          <cell r="C6" t="str">
            <v xml:space="preserve">    </v>
          </cell>
          <cell r="D6" t="str">
            <v xml:space="preserve"> 725</v>
          </cell>
          <cell r="E6" t="str">
            <v>BK10</v>
          </cell>
          <cell r="F6" t="str">
            <v>BK10</v>
          </cell>
          <cell r="G6" t="str">
            <v>高田</v>
          </cell>
          <cell r="H6" t="str">
            <v>(N)Be-1</v>
          </cell>
          <cell r="I6" t="str">
            <v>山中</v>
          </cell>
          <cell r="J6">
            <v>0</v>
          </cell>
          <cell r="K6">
            <v>0</v>
          </cell>
          <cell r="L6" t="str">
            <v>86-12</v>
          </cell>
        </row>
        <row r="7">
          <cell r="B7" t="str">
            <v>N01</v>
          </cell>
          <cell r="C7" t="str">
            <v xml:space="preserve"> SU </v>
          </cell>
          <cell r="D7" t="str">
            <v xml:space="preserve"> 730</v>
          </cell>
          <cell r="E7" t="str">
            <v>S13</v>
          </cell>
          <cell r="F7" t="str">
            <v>S13</v>
          </cell>
          <cell r="G7" t="str">
            <v>九州</v>
          </cell>
          <cell r="H7" t="str">
            <v>(ﾓ)ｼﾙﾋﾞｱ</v>
          </cell>
          <cell r="I7" t="str">
            <v>高木</v>
          </cell>
          <cell r="J7">
            <v>0</v>
          </cell>
          <cell r="K7">
            <v>0</v>
          </cell>
          <cell r="L7" t="str">
            <v>88-05</v>
          </cell>
        </row>
        <row r="8">
          <cell r="B8" t="str">
            <v>N02</v>
          </cell>
          <cell r="C8" t="str">
            <v xml:space="preserve"> GR </v>
          </cell>
          <cell r="D8" t="str">
            <v xml:space="preserve"> 727</v>
          </cell>
          <cell r="E8" t="str">
            <v>M11</v>
          </cell>
          <cell r="F8" t="str">
            <v>M11</v>
          </cell>
          <cell r="G8" t="str">
            <v>日車</v>
          </cell>
          <cell r="H8" t="str">
            <v>(ﾓ)ﾌﾟﾚｰﾘｰ</v>
          </cell>
          <cell r="I8" t="str">
            <v>中島</v>
          </cell>
          <cell r="J8">
            <v>0</v>
          </cell>
          <cell r="K8">
            <v>0</v>
          </cell>
          <cell r="L8" t="str">
            <v>88-09</v>
          </cell>
        </row>
        <row r="9">
          <cell r="B9" t="str">
            <v>N03</v>
          </cell>
          <cell r="C9" t="str">
            <v xml:space="preserve">    </v>
          </cell>
          <cell r="D9" t="str">
            <v xml:space="preserve"> 886</v>
          </cell>
          <cell r="E9" t="str">
            <v>F22</v>
          </cell>
          <cell r="F9" t="str">
            <v>F22</v>
          </cell>
          <cell r="G9" t="str">
            <v>日デ</v>
          </cell>
          <cell r="H9" t="str">
            <v>(ﾏ)ｱﾄﾗｽ</v>
          </cell>
          <cell r="I9" t="str">
            <v>林</v>
          </cell>
          <cell r="J9">
            <v>0</v>
          </cell>
          <cell r="K9">
            <v>0</v>
          </cell>
          <cell r="L9" t="str">
            <v>86-09</v>
          </cell>
        </row>
        <row r="10">
          <cell r="B10" t="str">
            <v>N04</v>
          </cell>
          <cell r="C10" t="str">
            <v xml:space="preserve"> XE </v>
          </cell>
          <cell r="D10" t="str">
            <v xml:space="preserve"> 722</v>
          </cell>
          <cell r="E10" t="str">
            <v>B12</v>
          </cell>
          <cell r="F10" t="str">
            <v>B12</v>
          </cell>
          <cell r="G10" t="str">
            <v>座間</v>
          </cell>
          <cell r="H10" t="str">
            <v>(ﾏ)ｻﾆｰ</v>
          </cell>
          <cell r="I10" t="str">
            <v>高木</v>
          </cell>
          <cell r="J10">
            <v>0</v>
          </cell>
          <cell r="K10">
            <v>0</v>
          </cell>
          <cell r="L10" t="str">
            <v>87-08</v>
          </cell>
        </row>
        <row r="11">
          <cell r="B11" t="str">
            <v>N05</v>
          </cell>
          <cell r="C11" t="str">
            <v xml:space="preserve">    </v>
          </cell>
          <cell r="D11" t="str">
            <v xml:space="preserve"> 715</v>
          </cell>
          <cell r="E11" t="str">
            <v>D20</v>
          </cell>
          <cell r="F11" t="str">
            <v>D20</v>
          </cell>
          <cell r="G11" t="str">
            <v>九州</v>
          </cell>
          <cell r="H11" t="str">
            <v>(ﾏ)ﾀﾞｯﾄﾗ</v>
          </cell>
          <cell r="I11" t="str">
            <v>高木</v>
          </cell>
          <cell r="J11">
            <v>0</v>
          </cell>
          <cell r="K11">
            <v>0</v>
          </cell>
          <cell r="L11" t="str">
            <v>86-07</v>
          </cell>
        </row>
        <row r="12">
          <cell r="B12" t="str">
            <v>N06</v>
          </cell>
          <cell r="C12" t="str">
            <v xml:space="preserve"> GV </v>
          </cell>
          <cell r="D12" t="str">
            <v xml:space="preserve"> 711</v>
          </cell>
          <cell r="E12" t="str">
            <v>J30</v>
          </cell>
          <cell r="F12" t="str">
            <v>J30</v>
          </cell>
          <cell r="G12" t="str">
            <v>追浜</v>
          </cell>
          <cell r="H12" t="str">
            <v>(ﾓ)ﾏｷｼﾏ</v>
          </cell>
          <cell r="I12" t="str">
            <v>石川</v>
          </cell>
          <cell r="J12">
            <v>0</v>
          </cell>
          <cell r="K12">
            <v>0</v>
          </cell>
          <cell r="L12" t="str">
            <v>88-08</v>
          </cell>
        </row>
        <row r="13">
          <cell r="B13" t="str">
            <v>N07</v>
          </cell>
          <cell r="C13" t="str">
            <v xml:space="preserve"> MG </v>
          </cell>
          <cell r="D13" t="str">
            <v xml:space="preserve">    </v>
          </cell>
          <cell r="E13">
            <v>0</v>
          </cell>
          <cell r="F13">
            <v>0</v>
          </cell>
          <cell r="G13" t="str">
            <v>高田</v>
          </cell>
          <cell r="H13" t="str">
            <v>(N)ﾐｯﾄﾞ4</v>
          </cell>
          <cell r="I13" t="str">
            <v>山中</v>
          </cell>
          <cell r="J13">
            <v>0</v>
          </cell>
          <cell r="K13">
            <v>0</v>
          </cell>
          <cell r="L13" t="str">
            <v>開発中止</v>
          </cell>
        </row>
        <row r="14">
          <cell r="B14" t="str">
            <v>N08</v>
          </cell>
          <cell r="C14" t="str">
            <v xml:space="preserve">    </v>
          </cell>
          <cell r="D14" t="str">
            <v xml:space="preserve"> 737</v>
          </cell>
          <cell r="E14" t="str">
            <v>K10</v>
          </cell>
          <cell r="F14" t="str">
            <v>K10</v>
          </cell>
          <cell r="G14" t="str">
            <v>村山</v>
          </cell>
          <cell r="H14" t="str">
            <v>( )台湾ﾏｰﾁ</v>
          </cell>
          <cell r="I14" t="str">
            <v>久保川</v>
          </cell>
          <cell r="J14">
            <v>0</v>
          </cell>
          <cell r="K14">
            <v>0</v>
          </cell>
          <cell r="L14" t="str">
            <v>88-08</v>
          </cell>
        </row>
        <row r="15">
          <cell r="B15" t="str">
            <v>N09</v>
          </cell>
          <cell r="C15" t="str">
            <v xml:space="preserve">    </v>
          </cell>
          <cell r="D15" t="str">
            <v xml:space="preserve"> 856</v>
          </cell>
          <cell r="E15" t="str">
            <v>910</v>
          </cell>
          <cell r="F15" t="str">
            <v>910</v>
          </cell>
          <cell r="G15" t="str">
            <v>日車</v>
          </cell>
          <cell r="H15" t="str">
            <v>( )910ﾀｸｼｰ</v>
          </cell>
          <cell r="I15" t="str">
            <v>中島</v>
          </cell>
          <cell r="J15">
            <v>0</v>
          </cell>
          <cell r="K15">
            <v>0</v>
          </cell>
          <cell r="L15" t="str">
            <v>86-08</v>
          </cell>
        </row>
        <row r="16">
          <cell r="B16" t="str">
            <v>N10</v>
          </cell>
          <cell r="C16" t="str">
            <v xml:space="preserve">    </v>
          </cell>
          <cell r="D16" t="str">
            <v xml:space="preserve"> 709</v>
          </cell>
          <cell r="E16" t="str">
            <v>R31</v>
          </cell>
          <cell r="F16" t="str">
            <v>R31</v>
          </cell>
          <cell r="G16" t="str">
            <v>村山</v>
          </cell>
          <cell r="H16" t="str">
            <v>(ﾏ)ｽｶｲﾗｲﾝ</v>
          </cell>
          <cell r="I16" t="str">
            <v>久保川</v>
          </cell>
          <cell r="J16">
            <v>0</v>
          </cell>
          <cell r="K16">
            <v>0</v>
          </cell>
          <cell r="L16" t="str">
            <v>87-05</v>
          </cell>
        </row>
        <row r="17">
          <cell r="B17" t="str">
            <v>N11</v>
          </cell>
          <cell r="C17">
            <v>0</v>
          </cell>
          <cell r="D17" t="str">
            <v>F704</v>
          </cell>
          <cell r="E17" t="str">
            <v>FY31</v>
          </cell>
          <cell r="F17" t="str">
            <v>FY31</v>
          </cell>
          <cell r="G17" t="str">
            <v>栃木</v>
          </cell>
          <cell r="H17" t="str">
            <v>(N)ｼｰﾏ</v>
          </cell>
          <cell r="I17" t="str">
            <v>山口</v>
          </cell>
          <cell r="J17">
            <v>0</v>
          </cell>
          <cell r="K17">
            <v>0</v>
          </cell>
          <cell r="L17" t="str">
            <v>87-12</v>
          </cell>
        </row>
        <row r="18">
          <cell r="B18" t="str">
            <v>N12</v>
          </cell>
          <cell r="C18" t="str">
            <v xml:space="preserve">    </v>
          </cell>
          <cell r="D18" t="str">
            <v xml:space="preserve"> 732</v>
          </cell>
          <cell r="E18" t="str">
            <v>F31</v>
          </cell>
          <cell r="F18" t="str">
            <v>F31</v>
          </cell>
          <cell r="G18" t="str">
            <v>追浜</v>
          </cell>
          <cell r="H18" t="str">
            <v>(N)ﾚﾊﾟｰﾄﾞ(北米)</v>
          </cell>
          <cell r="I18" t="str">
            <v>石川</v>
          </cell>
          <cell r="J18">
            <v>0</v>
          </cell>
          <cell r="K18">
            <v>0</v>
          </cell>
          <cell r="L18" t="str">
            <v>88-01</v>
          </cell>
        </row>
        <row r="19">
          <cell r="B19" t="str">
            <v>N13</v>
          </cell>
          <cell r="C19" t="str">
            <v xml:space="preserve">    </v>
          </cell>
          <cell r="D19" t="str">
            <v xml:space="preserve"> 729</v>
          </cell>
          <cell r="E19" t="str">
            <v>D21</v>
          </cell>
          <cell r="F19" t="str">
            <v>D21</v>
          </cell>
          <cell r="G19" t="str">
            <v>九州</v>
          </cell>
          <cell r="H19" t="str">
            <v>(ﾏ)ﾀﾞｯﾄﾗ</v>
          </cell>
          <cell r="I19" t="str">
            <v>高木</v>
          </cell>
          <cell r="J19">
            <v>0</v>
          </cell>
          <cell r="K19">
            <v>0</v>
          </cell>
          <cell r="L19" t="str">
            <v>87-08</v>
          </cell>
        </row>
        <row r="20">
          <cell r="B20" t="str">
            <v>N14</v>
          </cell>
          <cell r="C20" t="str">
            <v xml:space="preserve">    </v>
          </cell>
          <cell r="D20" t="str">
            <v xml:space="preserve"> 742</v>
          </cell>
          <cell r="E20" t="str">
            <v>T12</v>
          </cell>
          <cell r="F20" t="str">
            <v>T12</v>
          </cell>
          <cell r="G20" t="str">
            <v>追浜</v>
          </cell>
          <cell r="H20" t="str">
            <v>(ﾏ)ｵｰｽﾀｰ</v>
          </cell>
          <cell r="I20" t="str">
            <v>石川</v>
          </cell>
          <cell r="J20">
            <v>0</v>
          </cell>
          <cell r="K20">
            <v>0</v>
          </cell>
          <cell r="L20" t="str">
            <v>88-10</v>
          </cell>
        </row>
        <row r="21">
          <cell r="B21" t="str">
            <v>N15</v>
          </cell>
          <cell r="C21" t="str">
            <v xml:space="preserve"> RY </v>
          </cell>
          <cell r="D21" t="str">
            <v xml:space="preserve"> 740</v>
          </cell>
          <cell r="E21" t="str">
            <v>A31</v>
          </cell>
          <cell r="F21" t="str">
            <v>A31</v>
          </cell>
          <cell r="G21" t="str">
            <v>村山</v>
          </cell>
          <cell r="H21" t="str">
            <v>(ﾓ)ｾﾌｨｰﾛ</v>
          </cell>
          <cell r="I21" t="str">
            <v>久保川</v>
          </cell>
          <cell r="J21">
            <v>0</v>
          </cell>
          <cell r="K21">
            <v>0</v>
          </cell>
          <cell r="L21" t="str">
            <v>88-06</v>
          </cell>
        </row>
        <row r="22">
          <cell r="B22" t="str">
            <v>N16</v>
          </cell>
          <cell r="C22" t="str">
            <v xml:space="preserve"> C </v>
          </cell>
          <cell r="D22" t="str">
            <v>650X</v>
          </cell>
          <cell r="E22">
            <v>0</v>
          </cell>
          <cell r="F22">
            <v>0</v>
          </cell>
          <cell r="G22" t="str">
            <v>日デ</v>
          </cell>
          <cell r="H22" t="str">
            <v>(ﾏ)ｺﾝﾄﾞﾙ</v>
          </cell>
          <cell r="I22" t="str">
            <v>伊奈</v>
          </cell>
          <cell r="J22">
            <v>0</v>
          </cell>
          <cell r="K22">
            <v>0</v>
          </cell>
          <cell r="L22" t="str">
            <v>87-09</v>
          </cell>
        </row>
        <row r="23">
          <cell r="B23" t="str">
            <v>N17</v>
          </cell>
          <cell r="C23" t="str">
            <v xml:space="preserve">    </v>
          </cell>
          <cell r="D23" t="str">
            <v xml:space="preserve"> 751</v>
          </cell>
          <cell r="E23" t="str">
            <v>U11</v>
          </cell>
          <cell r="F23" t="str">
            <v>U11</v>
          </cell>
          <cell r="G23" t="str">
            <v>日車</v>
          </cell>
          <cell r="H23" t="str">
            <v>(ﾏ)ﾌﾞﾙｰﾊﾞｰﾄﾞ,ﾜｺﾞﾝ</v>
          </cell>
          <cell r="I23" t="str">
            <v>中島</v>
          </cell>
          <cell r="J23">
            <v>0</v>
          </cell>
          <cell r="K23">
            <v>0</v>
          </cell>
          <cell r="L23" t="str">
            <v>87-10</v>
          </cell>
        </row>
        <row r="24">
          <cell r="B24" t="str">
            <v>N18</v>
          </cell>
          <cell r="C24" t="str">
            <v xml:space="preserve"> UZ </v>
          </cell>
          <cell r="D24" t="str">
            <v xml:space="preserve"> 756</v>
          </cell>
          <cell r="E24" t="str">
            <v>Z32</v>
          </cell>
          <cell r="F24" t="str">
            <v>Z32</v>
          </cell>
          <cell r="G24" t="str">
            <v>日車</v>
          </cell>
          <cell r="H24" t="str">
            <v>(ﾓ)ﾌｪｱﾚﾃﾞｨｰZ</v>
          </cell>
          <cell r="I24" t="str">
            <v>中島</v>
          </cell>
          <cell r="J24">
            <v>0</v>
          </cell>
          <cell r="K24">
            <v>0</v>
          </cell>
          <cell r="L24" t="str">
            <v>89-04</v>
          </cell>
        </row>
        <row r="25">
          <cell r="B25" t="str">
            <v>N19</v>
          </cell>
          <cell r="C25" t="str">
            <v xml:space="preserve"> QX </v>
          </cell>
          <cell r="D25" t="str">
            <v xml:space="preserve"> 759</v>
          </cell>
          <cell r="E25" t="str">
            <v>G50</v>
          </cell>
          <cell r="F25" t="str">
            <v>G50</v>
          </cell>
          <cell r="G25" t="str">
            <v>栃木</v>
          </cell>
          <cell r="H25" t="str">
            <v>(N)ｲﾝﾌｨﾆﾃｨｰ</v>
          </cell>
          <cell r="I25" t="str">
            <v>山口</v>
          </cell>
          <cell r="J25">
            <v>0</v>
          </cell>
          <cell r="K25">
            <v>0</v>
          </cell>
          <cell r="L25" t="str">
            <v>89-08</v>
          </cell>
        </row>
        <row r="26">
          <cell r="B26" t="str">
            <v>N20</v>
          </cell>
          <cell r="C26" t="str">
            <v xml:space="preserve"> EJ </v>
          </cell>
          <cell r="D26" t="str">
            <v xml:space="preserve"> 755</v>
          </cell>
          <cell r="E26" t="str">
            <v>N13</v>
          </cell>
          <cell r="F26" t="str">
            <v>N13</v>
          </cell>
          <cell r="G26" t="str">
            <v>栃木</v>
          </cell>
          <cell r="H26" t="str">
            <v>(ﾏ)ﾊﾟﾙｻｰ</v>
          </cell>
          <cell r="I26" t="str">
            <v>山口</v>
          </cell>
          <cell r="J26">
            <v>0</v>
          </cell>
          <cell r="K26">
            <v>0</v>
          </cell>
          <cell r="L26" t="str">
            <v>88-02</v>
          </cell>
        </row>
        <row r="27">
          <cell r="B27" t="str">
            <v>N21</v>
          </cell>
          <cell r="C27" t="str">
            <v xml:space="preserve">    </v>
          </cell>
          <cell r="D27" t="str">
            <v xml:space="preserve"> 758</v>
          </cell>
          <cell r="E27" t="str">
            <v>E24</v>
          </cell>
          <cell r="F27" t="str">
            <v>E24</v>
          </cell>
          <cell r="G27" t="str">
            <v>日車</v>
          </cell>
          <cell r="H27" t="str">
            <v>(ﾏ)ｷｬﾗﾊﾞﾝ,4WD</v>
          </cell>
          <cell r="I27" t="str">
            <v>中島</v>
          </cell>
          <cell r="J27">
            <v>0</v>
          </cell>
          <cell r="K27">
            <v>0</v>
          </cell>
          <cell r="L27" t="str">
            <v>87-09</v>
          </cell>
        </row>
        <row r="28">
          <cell r="B28" t="str">
            <v>N22</v>
          </cell>
          <cell r="C28" t="str">
            <v xml:space="preserve"> RV </v>
          </cell>
          <cell r="D28" t="str">
            <v xml:space="preserve"> 745</v>
          </cell>
          <cell r="E28" t="str">
            <v>C33</v>
          </cell>
          <cell r="F28" t="str">
            <v>C33</v>
          </cell>
          <cell r="G28" t="str">
            <v>村山</v>
          </cell>
          <cell r="H28" t="str">
            <v>(ﾓ)ﾛｰﾚﾙ,H/T</v>
          </cell>
          <cell r="I28" t="str">
            <v>久保川</v>
          </cell>
          <cell r="J28">
            <v>0</v>
          </cell>
          <cell r="K28">
            <v>0</v>
          </cell>
          <cell r="L28" t="str">
            <v>88-12</v>
          </cell>
        </row>
        <row r="29">
          <cell r="B29" t="str">
            <v>N23</v>
          </cell>
          <cell r="C29" t="str">
            <v xml:space="preserve"> RX </v>
          </cell>
          <cell r="D29" t="str">
            <v xml:space="preserve"> 757</v>
          </cell>
          <cell r="E29" t="str">
            <v>R32</v>
          </cell>
          <cell r="F29" t="str">
            <v>R32</v>
          </cell>
          <cell r="G29" t="str">
            <v>村山</v>
          </cell>
          <cell r="H29" t="str">
            <v>(ﾓ)ｽｶｲﾗｲﾝ,ｸｰﾍﾟ</v>
          </cell>
          <cell r="I29" t="str">
            <v>久保川</v>
          </cell>
          <cell r="J29">
            <v>0</v>
          </cell>
          <cell r="K29">
            <v>0</v>
          </cell>
          <cell r="L29" t="str">
            <v>89-04</v>
          </cell>
        </row>
        <row r="30">
          <cell r="B30" t="str">
            <v>N24</v>
          </cell>
          <cell r="C30" t="str">
            <v xml:space="preserve">    </v>
          </cell>
          <cell r="D30" t="str">
            <v xml:space="preserve"> 763</v>
          </cell>
          <cell r="E30" t="str">
            <v>K10</v>
          </cell>
          <cell r="F30" t="str">
            <v>K10</v>
          </cell>
          <cell r="G30" t="str">
            <v>村山</v>
          </cell>
          <cell r="H30" t="str">
            <v>(ﾏ)ﾏｰﾁ</v>
          </cell>
          <cell r="I30" t="str">
            <v>久保川</v>
          </cell>
          <cell r="J30">
            <v>0</v>
          </cell>
          <cell r="K30">
            <v>0</v>
          </cell>
          <cell r="L30" t="str">
            <v>88-08</v>
          </cell>
        </row>
        <row r="31">
          <cell r="B31" t="str">
            <v>N25</v>
          </cell>
          <cell r="C31" t="str">
            <v xml:space="preserve">  U </v>
          </cell>
          <cell r="D31" t="str">
            <v xml:space="preserve"> 705</v>
          </cell>
          <cell r="E31" t="str">
            <v>Y60</v>
          </cell>
          <cell r="F31" t="str">
            <v>Y60</v>
          </cell>
          <cell r="G31" t="str">
            <v>日デ</v>
          </cell>
          <cell r="H31" t="str">
            <v>(ﾓ)ｻﾌｧﾘ</v>
          </cell>
          <cell r="I31" t="str">
            <v>林</v>
          </cell>
          <cell r="J31">
            <v>0</v>
          </cell>
          <cell r="K31">
            <v>0</v>
          </cell>
          <cell r="L31" t="str">
            <v>88-07</v>
          </cell>
        </row>
        <row r="32">
          <cell r="B32" t="str">
            <v>N26</v>
          </cell>
          <cell r="C32" t="str">
            <v xml:space="preserve"> EC </v>
          </cell>
          <cell r="D32" t="str">
            <v xml:space="preserve"> 767</v>
          </cell>
          <cell r="E32" t="str">
            <v>P10</v>
          </cell>
          <cell r="F32" t="str">
            <v>P10</v>
          </cell>
          <cell r="G32" t="str">
            <v>追浜</v>
          </cell>
          <cell r="H32" t="str">
            <v>(N)ﾌﾟﾘﾒｰﾗ</v>
          </cell>
          <cell r="I32" t="str">
            <v>石川</v>
          </cell>
          <cell r="J32">
            <v>0</v>
          </cell>
          <cell r="K32">
            <v>0</v>
          </cell>
          <cell r="L32" t="str">
            <v>89-08</v>
          </cell>
        </row>
        <row r="33">
          <cell r="B33" t="str">
            <v>N27</v>
          </cell>
          <cell r="C33" t="str">
            <v xml:space="preserve">    </v>
          </cell>
          <cell r="D33" t="str">
            <v xml:space="preserve"> 770</v>
          </cell>
          <cell r="E33" t="str">
            <v>U12</v>
          </cell>
          <cell r="F33" t="str">
            <v>U12</v>
          </cell>
          <cell r="G33" t="str">
            <v>追浜</v>
          </cell>
          <cell r="H33" t="str">
            <v>(ﾏ)ﾌﾞﾙｰﾊﾞｰﾄﾞ</v>
          </cell>
          <cell r="I33" t="str">
            <v>石川</v>
          </cell>
          <cell r="J33">
            <v>0</v>
          </cell>
          <cell r="K33">
            <v>0</v>
          </cell>
          <cell r="L33" t="str">
            <v>89-06</v>
          </cell>
        </row>
        <row r="34">
          <cell r="B34" t="str">
            <v>N28</v>
          </cell>
          <cell r="C34" t="str">
            <v>U40A</v>
          </cell>
          <cell r="D34" t="str">
            <v>375</v>
          </cell>
          <cell r="E34">
            <v>0</v>
          </cell>
          <cell r="F34">
            <v>0</v>
          </cell>
          <cell r="G34" t="str">
            <v>日デ</v>
          </cell>
          <cell r="H34" t="str">
            <v>(N)ｺﾝﾄﾞﾙ</v>
          </cell>
          <cell r="I34" t="str">
            <v xml:space="preserve"> 林</v>
          </cell>
          <cell r="J34">
            <v>0</v>
          </cell>
          <cell r="K34">
            <v>0</v>
          </cell>
          <cell r="L34" t="str">
            <v>88-06</v>
          </cell>
        </row>
        <row r="35">
          <cell r="B35" t="str">
            <v>N29</v>
          </cell>
          <cell r="C35">
            <v>0</v>
          </cell>
          <cell r="D35" t="str">
            <v xml:space="preserve"> 761</v>
          </cell>
          <cell r="E35" t="str">
            <v>GC22</v>
          </cell>
          <cell r="F35" t="str">
            <v>GC22</v>
          </cell>
          <cell r="G35" t="str">
            <v>愛知</v>
          </cell>
          <cell r="H35" t="str">
            <v>(ﾏ)ﾊﾞﾈｯﾄ</v>
          </cell>
          <cell r="I35" t="str">
            <v>山中</v>
          </cell>
          <cell r="J35">
            <v>0</v>
          </cell>
          <cell r="K35">
            <v>0</v>
          </cell>
          <cell r="L35" t="str">
            <v>88-08</v>
          </cell>
        </row>
        <row r="36">
          <cell r="B36" t="str">
            <v>N30</v>
          </cell>
          <cell r="C36" t="str">
            <v xml:space="preserve"> GS </v>
          </cell>
          <cell r="D36" t="str">
            <v xml:space="preserve"> 771</v>
          </cell>
          <cell r="E36" t="str">
            <v>B13</v>
          </cell>
          <cell r="F36" t="str">
            <v>B13</v>
          </cell>
          <cell r="G36" t="str">
            <v>座間</v>
          </cell>
          <cell r="H36" t="str">
            <v>(ﾓ)ｻﾆｰ</v>
          </cell>
          <cell r="I36" t="str">
            <v>高木</v>
          </cell>
          <cell r="J36">
            <v>0</v>
          </cell>
          <cell r="K36">
            <v>0</v>
          </cell>
          <cell r="L36" t="str">
            <v>89-12</v>
          </cell>
        </row>
        <row r="37">
          <cell r="B37" t="str">
            <v>N31</v>
          </cell>
          <cell r="C37" t="str">
            <v xml:space="preserve">    </v>
          </cell>
          <cell r="D37" t="str">
            <v xml:space="preserve"> 762</v>
          </cell>
          <cell r="E37" t="str">
            <v>E24</v>
          </cell>
          <cell r="F37" t="str">
            <v>E24</v>
          </cell>
          <cell r="G37" t="str">
            <v>日車</v>
          </cell>
          <cell r="H37" t="str">
            <v>(ﾏ)ｷｬﾗﾊﾞﾝ</v>
          </cell>
          <cell r="I37" t="str">
            <v>中島</v>
          </cell>
          <cell r="J37">
            <v>0</v>
          </cell>
          <cell r="K37">
            <v>0</v>
          </cell>
          <cell r="L37" t="str">
            <v>88-09</v>
          </cell>
        </row>
        <row r="38">
          <cell r="B38" t="str">
            <v>N32</v>
          </cell>
          <cell r="C38" t="str">
            <v xml:space="preserve">    </v>
          </cell>
          <cell r="D38" t="str">
            <v xml:space="preserve"> 780</v>
          </cell>
          <cell r="E38" t="str">
            <v>PK10</v>
          </cell>
          <cell r="F38" t="str">
            <v>PK10</v>
          </cell>
          <cell r="G38" t="str">
            <v>高田</v>
          </cell>
          <cell r="H38" t="str">
            <v>(N)ﾊﾟｵ</v>
          </cell>
          <cell r="I38" t="str">
            <v>山中</v>
          </cell>
          <cell r="J38">
            <v>0</v>
          </cell>
          <cell r="K38">
            <v>0</v>
          </cell>
          <cell r="L38" t="str">
            <v>88-11</v>
          </cell>
        </row>
        <row r="39">
          <cell r="B39" t="str">
            <v>N33</v>
          </cell>
          <cell r="C39" t="str">
            <v xml:space="preserve">    </v>
          </cell>
          <cell r="D39" t="str">
            <v xml:space="preserve"> 781</v>
          </cell>
          <cell r="E39" t="str">
            <v>G20</v>
          </cell>
          <cell r="F39" t="str">
            <v>G20</v>
          </cell>
          <cell r="G39" t="str">
            <v>日車</v>
          </cell>
          <cell r="H39" t="str">
            <v>(N)ｴｽｶﾙｺﾞ</v>
          </cell>
          <cell r="I39" t="str">
            <v>中島</v>
          </cell>
          <cell r="J39">
            <v>0</v>
          </cell>
          <cell r="K39">
            <v>0</v>
          </cell>
          <cell r="L39" t="str">
            <v>89-02</v>
          </cell>
        </row>
        <row r="40">
          <cell r="B40" t="str">
            <v>N34</v>
          </cell>
          <cell r="C40" t="str">
            <v xml:space="preserve">    </v>
          </cell>
          <cell r="D40" t="str">
            <v xml:space="preserve"> 764</v>
          </cell>
          <cell r="E40" t="str">
            <v>Y31</v>
          </cell>
          <cell r="F40" t="str">
            <v>Y31</v>
          </cell>
          <cell r="G40" t="str">
            <v>栃木</v>
          </cell>
          <cell r="H40" t="str">
            <v>(ﾏ)ｾﾄﾞﾘｯｸ,ｸﾞﾛﾘｱ</v>
          </cell>
          <cell r="I40" t="str">
            <v>山口</v>
          </cell>
          <cell r="J40">
            <v>0</v>
          </cell>
          <cell r="K40">
            <v>0</v>
          </cell>
          <cell r="L40" t="str">
            <v>89-05</v>
          </cell>
        </row>
        <row r="41">
          <cell r="B41" t="str">
            <v>N35</v>
          </cell>
          <cell r="C41" t="str">
            <v xml:space="preserve"> ES </v>
          </cell>
          <cell r="D41" t="str">
            <v xml:space="preserve"> 777</v>
          </cell>
          <cell r="E41" t="str">
            <v>N14</v>
          </cell>
          <cell r="F41" t="str">
            <v>N14</v>
          </cell>
          <cell r="G41" t="str">
            <v>栃木</v>
          </cell>
          <cell r="H41" t="str">
            <v>(ﾓ)ﾊﾟﾙｻｰ</v>
          </cell>
          <cell r="I41" t="str">
            <v>山口</v>
          </cell>
          <cell r="J41">
            <v>0</v>
          </cell>
          <cell r="K41">
            <v>0</v>
          </cell>
          <cell r="L41" t="str">
            <v>90-02</v>
          </cell>
        </row>
        <row r="42">
          <cell r="B42" t="str">
            <v>N36</v>
          </cell>
          <cell r="C42" t="str">
            <v xml:space="preserve"> MV </v>
          </cell>
          <cell r="D42" t="str">
            <v xml:space="preserve"> 783</v>
          </cell>
          <cell r="E42" t="str">
            <v>W10</v>
          </cell>
          <cell r="F42" t="str">
            <v>W10</v>
          </cell>
          <cell r="G42" t="str">
            <v>日車</v>
          </cell>
          <cell r="H42" t="str">
            <v>(N)ｱﾍﾞﾆｰﾙ</v>
          </cell>
          <cell r="I42" t="str">
            <v>中島</v>
          </cell>
          <cell r="J42">
            <v>0</v>
          </cell>
          <cell r="K42">
            <v>0</v>
          </cell>
          <cell r="L42" t="str">
            <v>90-05</v>
          </cell>
        </row>
        <row r="43">
          <cell r="B43" t="str">
            <v>N37</v>
          </cell>
          <cell r="C43" t="str">
            <v xml:space="preserve"> IS </v>
          </cell>
          <cell r="D43" t="str">
            <v xml:space="preserve"> 782</v>
          </cell>
          <cell r="E43" t="str">
            <v>R10</v>
          </cell>
          <cell r="F43" t="str">
            <v>R10</v>
          </cell>
          <cell r="G43" t="str">
            <v>座間</v>
          </cell>
          <cell r="H43" t="str">
            <v>(N)ﾌﾟﾚｾｱ</v>
          </cell>
          <cell r="I43" t="str">
            <v>高木</v>
          </cell>
          <cell r="J43">
            <v>0</v>
          </cell>
          <cell r="K43">
            <v>0</v>
          </cell>
          <cell r="L43" t="str">
            <v>90-05</v>
          </cell>
        </row>
        <row r="44">
          <cell r="B44" t="str">
            <v>N38</v>
          </cell>
          <cell r="C44" t="str">
            <v xml:space="preserve"> ZZ </v>
          </cell>
          <cell r="D44" t="str">
            <v xml:space="preserve"> 914</v>
          </cell>
          <cell r="E44" t="str">
            <v>F23</v>
          </cell>
          <cell r="F44" t="str">
            <v>F23</v>
          </cell>
          <cell r="G44" t="str">
            <v>日デ</v>
          </cell>
          <cell r="H44" t="str">
            <v>(ﾓ)ｱﾄﾗｽ</v>
          </cell>
          <cell r="I44" t="str">
            <v>林</v>
          </cell>
          <cell r="J44">
            <v>0</v>
          </cell>
          <cell r="K44">
            <v>0</v>
          </cell>
          <cell r="L44" t="str">
            <v>91-10</v>
          </cell>
        </row>
        <row r="45">
          <cell r="B45" t="str">
            <v>N39</v>
          </cell>
          <cell r="C45" t="str">
            <v xml:space="preserve">    </v>
          </cell>
          <cell r="D45" t="str">
            <v xml:space="preserve"> 768</v>
          </cell>
          <cell r="E45" t="str">
            <v>D21</v>
          </cell>
          <cell r="F45" t="str">
            <v>D21</v>
          </cell>
          <cell r="G45" t="str">
            <v>九州</v>
          </cell>
          <cell r="H45" t="str">
            <v>(ﾏ)ﾀﾞｯﾄﾗ</v>
          </cell>
          <cell r="I45" t="str">
            <v>高木</v>
          </cell>
          <cell r="J45">
            <v>0</v>
          </cell>
          <cell r="K45">
            <v>0</v>
          </cell>
          <cell r="L45" t="str">
            <v>89-06</v>
          </cell>
        </row>
        <row r="46">
          <cell r="B46" t="str">
            <v>N40</v>
          </cell>
          <cell r="C46" t="str">
            <v xml:space="preserve">    </v>
          </cell>
          <cell r="D46" t="str">
            <v xml:space="preserve"> 766</v>
          </cell>
          <cell r="E46" t="str">
            <v>C22</v>
          </cell>
          <cell r="F46" t="str">
            <v>C22</v>
          </cell>
          <cell r="G46" t="str">
            <v>愛知</v>
          </cell>
          <cell r="H46" t="str">
            <v>(ﾏ)ﾊﾞﾈｯﾄﾗﾙｺﾞ</v>
          </cell>
          <cell r="I46" t="str">
            <v>山中</v>
          </cell>
          <cell r="J46">
            <v>0</v>
          </cell>
          <cell r="K46">
            <v>0</v>
          </cell>
          <cell r="L46" t="str">
            <v>91-04</v>
          </cell>
        </row>
        <row r="47">
          <cell r="B47" t="str">
            <v>N41</v>
          </cell>
          <cell r="C47" t="str">
            <v xml:space="preserve">  F </v>
          </cell>
          <cell r="D47" t="str">
            <v xml:space="preserve"> 764</v>
          </cell>
          <cell r="E47" t="str">
            <v>FY31</v>
          </cell>
          <cell r="F47" t="str">
            <v>FY31</v>
          </cell>
          <cell r="G47" t="str">
            <v>栃木</v>
          </cell>
          <cell r="H47" t="str">
            <v>(ﾏ)ｼｰﾏ</v>
          </cell>
          <cell r="I47" t="str">
            <v>山口</v>
          </cell>
          <cell r="J47">
            <v>0</v>
          </cell>
          <cell r="K47">
            <v>0</v>
          </cell>
          <cell r="L47" t="str">
            <v>89-08</v>
          </cell>
        </row>
        <row r="48">
          <cell r="B48" t="str">
            <v>N42</v>
          </cell>
          <cell r="C48" t="str">
            <v xml:space="preserve">    </v>
          </cell>
          <cell r="D48" t="str">
            <v xml:space="preserve"> 746</v>
          </cell>
          <cell r="E48" t="str">
            <v>B12</v>
          </cell>
          <cell r="F48" t="str">
            <v>B12</v>
          </cell>
          <cell r="G48" t="str">
            <v>日車</v>
          </cell>
          <cell r="H48" t="str">
            <v>(ﾏ)ﾛｰﾚﾙｽﾋﾟﾘｯﾄ</v>
          </cell>
          <cell r="I48" t="str">
            <v>中島</v>
          </cell>
          <cell r="J48">
            <v>0</v>
          </cell>
          <cell r="K48">
            <v>0</v>
          </cell>
          <cell r="L48" t="str">
            <v>88-10</v>
          </cell>
        </row>
        <row r="49">
          <cell r="B49" t="str">
            <v>N43</v>
          </cell>
          <cell r="C49" t="str">
            <v xml:space="preserve">    </v>
          </cell>
          <cell r="D49" t="str">
            <v xml:space="preserve"> 785</v>
          </cell>
          <cell r="E49" t="str">
            <v>KN13</v>
          </cell>
          <cell r="F49" t="str">
            <v>KN13</v>
          </cell>
          <cell r="G49" t="str">
            <v>九州</v>
          </cell>
          <cell r="H49" t="str">
            <v>(ﾏ)ｴｸｻｷｬﾉﾋﾟｰ</v>
          </cell>
          <cell r="I49" t="str">
            <v>高木</v>
          </cell>
          <cell r="J49">
            <v>0</v>
          </cell>
          <cell r="K49">
            <v>0</v>
          </cell>
          <cell r="L49" t="str">
            <v>89-10</v>
          </cell>
        </row>
        <row r="50">
          <cell r="B50" t="str">
            <v>N44</v>
          </cell>
          <cell r="C50" t="str">
            <v xml:space="preserve">    </v>
          </cell>
          <cell r="D50" t="str">
            <v xml:space="preserve"> 636</v>
          </cell>
          <cell r="E50">
            <v>0</v>
          </cell>
          <cell r="F50">
            <v>0</v>
          </cell>
          <cell r="G50" t="str">
            <v>村山</v>
          </cell>
          <cell r="H50" t="str">
            <v>( )ﾌｫｰｸﾘﾌﾄ</v>
          </cell>
          <cell r="I50" t="str">
            <v>久保川</v>
          </cell>
          <cell r="J50">
            <v>0</v>
          </cell>
          <cell r="K50">
            <v>0</v>
          </cell>
          <cell r="L50" t="str">
            <v>88-09</v>
          </cell>
        </row>
        <row r="51">
          <cell r="B51" t="str">
            <v>N45</v>
          </cell>
          <cell r="C51" t="str">
            <v xml:space="preserve"> CV </v>
          </cell>
          <cell r="D51" t="str">
            <v xml:space="preserve"> 788</v>
          </cell>
          <cell r="E51" t="str">
            <v>Y10</v>
          </cell>
          <cell r="F51" t="str">
            <v>Y10</v>
          </cell>
          <cell r="G51" t="str">
            <v>日車</v>
          </cell>
          <cell r="H51" t="str">
            <v>(ﾓ)ADﾊﾞﾝ,ﾜｺﾞﾝ</v>
          </cell>
          <cell r="I51" t="str">
            <v>中島</v>
          </cell>
          <cell r="J51">
            <v>0</v>
          </cell>
          <cell r="K51">
            <v>0</v>
          </cell>
          <cell r="L51" t="str">
            <v>90-09</v>
          </cell>
        </row>
        <row r="52">
          <cell r="B52" t="str">
            <v>N46</v>
          </cell>
          <cell r="C52" t="str">
            <v xml:space="preserve">    </v>
          </cell>
          <cell r="D52" t="str">
            <v xml:space="preserve"> 786</v>
          </cell>
          <cell r="E52" t="str">
            <v>VB13</v>
          </cell>
          <cell r="F52" t="str">
            <v>VB13</v>
          </cell>
          <cell r="G52" t="str">
            <v>愛知</v>
          </cell>
          <cell r="H52" t="str">
            <v>(ﾏ)ｻﾆｰﾄﾗｯｸ</v>
          </cell>
          <cell r="I52" t="str">
            <v>山中</v>
          </cell>
          <cell r="J52">
            <v>0</v>
          </cell>
          <cell r="K52">
            <v>0</v>
          </cell>
          <cell r="L52" t="str">
            <v>89-03</v>
          </cell>
        </row>
        <row r="53">
          <cell r="B53" t="str">
            <v>N47</v>
          </cell>
          <cell r="C53" t="str">
            <v xml:space="preserve"> NC </v>
          </cell>
          <cell r="D53" t="str">
            <v xml:space="preserve"> 908</v>
          </cell>
          <cell r="E53" t="str">
            <v>GC23</v>
          </cell>
          <cell r="F53" t="str">
            <v>GC23</v>
          </cell>
          <cell r="G53" t="str">
            <v>愛知</v>
          </cell>
          <cell r="H53" t="str">
            <v>(ﾓ)ﾊﾞﾈｯﾄｾﾚﾅ</v>
          </cell>
          <cell r="I53" t="str">
            <v>山中</v>
          </cell>
          <cell r="J53">
            <v>0</v>
          </cell>
          <cell r="K53">
            <v>0</v>
          </cell>
          <cell r="L53" t="str">
            <v>91-05</v>
          </cell>
        </row>
        <row r="54">
          <cell r="B54" t="str">
            <v>N48</v>
          </cell>
          <cell r="C54" t="str">
            <v xml:space="preserve"> ID </v>
          </cell>
          <cell r="D54" t="str">
            <v xml:space="preserve">    </v>
          </cell>
          <cell r="E54">
            <v>0</v>
          </cell>
          <cell r="F54">
            <v>0</v>
          </cell>
          <cell r="G54" t="str">
            <v>試作</v>
          </cell>
          <cell r="H54" t="str">
            <v>(N)'89 東京ﾓｰﾀｰｼｮｰ車</v>
          </cell>
          <cell r="I54">
            <v>0</v>
          </cell>
          <cell r="J54">
            <v>0</v>
          </cell>
          <cell r="K54">
            <v>0</v>
          </cell>
          <cell r="L54" t="str">
            <v>89-07</v>
          </cell>
        </row>
        <row r="55">
          <cell r="B55" t="str">
            <v>N49</v>
          </cell>
          <cell r="C55" t="str">
            <v xml:space="preserve"> AS </v>
          </cell>
          <cell r="D55" t="str">
            <v xml:space="preserve">    </v>
          </cell>
          <cell r="E55">
            <v>0</v>
          </cell>
          <cell r="F55">
            <v>0</v>
          </cell>
          <cell r="G55" t="str">
            <v>試作</v>
          </cell>
          <cell r="H55" t="str">
            <v>(N)'89 東京ﾓｰﾀｰｼｮｰ車</v>
          </cell>
          <cell r="I55">
            <v>0</v>
          </cell>
          <cell r="J55">
            <v>0</v>
          </cell>
          <cell r="K55">
            <v>0</v>
          </cell>
          <cell r="L55" t="str">
            <v>89-07</v>
          </cell>
        </row>
        <row r="56">
          <cell r="B56" t="str">
            <v>N50</v>
          </cell>
          <cell r="C56" t="str">
            <v xml:space="preserve">  J </v>
          </cell>
          <cell r="D56" t="str">
            <v xml:space="preserve"> 797</v>
          </cell>
          <cell r="E56" t="str">
            <v>J/PG50</v>
          </cell>
          <cell r="F56" t="str">
            <v>J/PG50</v>
          </cell>
          <cell r="G56" t="str">
            <v>栃木</v>
          </cell>
          <cell r="H56" t="str">
            <v>(ﾓ)ﾌﾟﾚｼﾞﾃﾞﾝﾄ</v>
          </cell>
          <cell r="I56" t="str">
            <v>山口</v>
          </cell>
          <cell r="J56">
            <v>0</v>
          </cell>
          <cell r="K56" t="str">
            <v>90-02</v>
          </cell>
          <cell r="L56" t="str">
            <v>90-11</v>
          </cell>
        </row>
        <row r="57">
          <cell r="B57" t="str">
            <v>N51</v>
          </cell>
          <cell r="C57" t="str">
            <v xml:space="preserve">    </v>
          </cell>
          <cell r="D57" t="str">
            <v xml:space="preserve"> 789</v>
          </cell>
          <cell r="E57" t="str">
            <v>319A</v>
          </cell>
          <cell r="F57" t="str">
            <v>319A</v>
          </cell>
          <cell r="G57" t="str">
            <v>座間</v>
          </cell>
          <cell r="H57" t="str">
            <v>(N)ﾊﾟｻｰﾄﾞ</v>
          </cell>
          <cell r="I57" t="str">
            <v>高木</v>
          </cell>
          <cell r="J57">
            <v>0</v>
          </cell>
          <cell r="K57" t="str">
            <v>89-06</v>
          </cell>
          <cell r="L57" t="str">
            <v>91-03</v>
          </cell>
        </row>
        <row r="58">
          <cell r="B58" t="str">
            <v>N52</v>
          </cell>
          <cell r="C58" t="str">
            <v xml:space="preserve">    </v>
          </cell>
          <cell r="D58" t="str">
            <v xml:space="preserve"> 904</v>
          </cell>
          <cell r="E58" t="str">
            <v>E24</v>
          </cell>
          <cell r="F58" t="str">
            <v>E24</v>
          </cell>
          <cell r="G58" t="str">
            <v>日車</v>
          </cell>
          <cell r="H58" t="str">
            <v>(ﾏ)ｷｬﾗﾊﾞﾝ</v>
          </cell>
          <cell r="I58" t="str">
            <v>中島</v>
          </cell>
          <cell r="J58">
            <v>0</v>
          </cell>
          <cell r="K58" t="str">
            <v>89-09</v>
          </cell>
          <cell r="L58" t="str">
            <v>90-07</v>
          </cell>
        </row>
        <row r="59">
          <cell r="B59" t="str">
            <v>N53</v>
          </cell>
          <cell r="C59" t="str">
            <v xml:space="preserve">    </v>
          </cell>
          <cell r="D59" t="str">
            <v xml:space="preserve"> 902</v>
          </cell>
          <cell r="E59" t="str">
            <v>A31</v>
          </cell>
          <cell r="F59" t="str">
            <v>A31</v>
          </cell>
          <cell r="G59" t="str">
            <v>村山</v>
          </cell>
          <cell r="H59" t="str">
            <v>(ﾏ)ｾﾌｨｰﾛ</v>
          </cell>
          <cell r="I59" t="str">
            <v>久保川</v>
          </cell>
          <cell r="J59">
            <v>0</v>
          </cell>
          <cell r="K59" t="str">
            <v>89-11</v>
          </cell>
          <cell r="L59" t="str">
            <v>91-06</v>
          </cell>
        </row>
        <row r="60">
          <cell r="B60" t="str">
            <v>N54</v>
          </cell>
          <cell r="C60" t="str">
            <v xml:space="preserve">    </v>
          </cell>
          <cell r="D60" t="str">
            <v xml:space="preserve"> 773</v>
          </cell>
          <cell r="E60" t="str">
            <v>Y60</v>
          </cell>
          <cell r="F60" t="str">
            <v>Y60</v>
          </cell>
          <cell r="G60" t="str">
            <v>九州</v>
          </cell>
          <cell r="H60" t="str">
            <v>(ﾏ)ｻﾌｧﾘ</v>
          </cell>
          <cell r="I60" t="str">
            <v>高木</v>
          </cell>
          <cell r="J60">
            <v>0</v>
          </cell>
          <cell r="K60">
            <v>0</v>
          </cell>
          <cell r="L60" t="str">
            <v>89-09</v>
          </cell>
        </row>
        <row r="61">
          <cell r="B61" t="str">
            <v>N55</v>
          </cell>
          <cell r="C61" t="str">
            <v xml:space="preserve"> PI </v>
          </cell>
          <cell r="D61" t="str">
            <v xml:space="preserve"> 905</v>
          </cell>
          <cell r="E61" t="str">
            <v>Y32</v>
          </cell>
          <cell r="F61" t="str">
            <v>Y32</v>
          </cell>
          <cell r="G61" t="str">
            <v>栃木</v>
          </cell>
          <cell r="H61" t="str">
            <v>(ﾓ)ｾﾄﾞﾘｯｸ,ｸﾞﾛﾘｱ</v>
          </cell>
          <cell r="I61" t="str">
            <v>山口</v>
          </cell>
          <cell r="J61">
            <v>0</v>
          </cell>
          <cell r="K61" t="str">
            <v>90-07</v>
          </cell>
          <cell r="L61" t="str">
            <v>91-04</v>
          </cell>
        </row>
        <row r="62">
          <cell r="B62" t="str">
            <v>N56</v>
          </cell>
          <cell r="C62" t="str">
            <v xml:space="preserve">PUC </v>
          </cell>
          <cell r="D62" t="str">
            <v xml:space="preserve"> 905</v>
          </cell>
          <cell r="E62" t="str">
            <v>FY32</v>
          </cell>
          <cell r="F62" t="str">
            <v>FY32</v>
          </cell>
          <cell r="G62" t="str">
            <v>栃木</v>
          </cell>
          <cell r="H62" t="str">
            <v>(ﾓ)ｼｰﾏ</v>
          </cell>
          <cell r="I62" t="str">
            <v>山口</v>
          </cell>
          <cell r="J62">
            <v>0</v>
          </cell>
          <cell r="K62" t="str">
            <v>90-07</v>
          </cell>
          <cell r="L62" t="str">
            <v>91-05</v>
          </cell>
        </row>
        <row r="63">
          <cell r="B63" t="str">
            <v>N57</v>
          </cell>
          <cell r="C63" t="str">
            <v xml:space="preserve"> GV </v>
          </cell>
          <cell r="D63" t="str">
            <v xml:space="preserve"> 784</v>
          </cell>
          <cell r="E63" t="str">
            <v>J30</v>
          </cell>
          <cell r="F63" t="str">
            <v>J30</v>
          </cell>
          <cell r="G63" t="str">
            <v>追浜</v>
          </cell>
          <cell r="H63" t="str">
            <v>(ﾏ)ﾏｷｼﾏ</v>
          </cell>
          <cell r="I63" t="str">
            <v>石川</v>
          </cell>
          <cell r="J63">
            <v>0</v>
          </cell>
          <cell r="K63" t="str">
            <v>89-11</v>
          </cell>
          <cell r="L63" t="str">
            <v>90-09</v>
          </cell>
        </row>
        <row r="64">
          <cell r="B64" t="str">
            <v>N58</v>
          </cell>
          <cell r="C64" t="str">
            <v xml:space="preserve">    </v>
          </cell>
          <cell r="D64" t="str">
            <v xml:space="preserve"> 750</v>
          </cell>
          <cell r="E64" t="str">
            <v>F23</v>
          </cell>
          <cell r="F64" t="str">
            <v>F23</v>
          </cell>
          <cell r="G64" t="str">
            <v>日デ</v>
          </cell>
          <cell r="H64" t="str">
            <v>(ﾏ)ｱﾄﾗｽ</v>
          </cell>
          <cell r="I64" t="str">
            <v>林</v>
          </cell>
          <cell r="J64">
            <v>0</v>
          </cell>
          <cell r="K64">
            <v>0</v>
          </cell>
          <cell r="L64" t="str">
            <v>89-07</v>
          </cell>
        </row>
        <row r="65">
          <cell r="B65" t="str">
            <v>N59</v>
          </cell>
          <cell r="C65" t="str">
            <v xml:space="preserve">    </v>
          </cell>
          <cell r="D65" t="str">
            <v xml:space="preserve"> 903</v>
          </cell>
          <cell r="E65" t="str">
            <v>RS13</v>
          </cell>
          <cell r="F65" t="str">
            <v>RS13</v>
          </cell>
          <cell r="G65" t="str">
            <v>日車</v>
          </cell>
          <cell r="H65" t="str">
            <v>(ﾏ)180SX</v>
          </cell>
          <cell r="I65" t="str">
            <v>中島</v>
          </cell>
          <cell r="J65">
            <v>0</v>
          </cell>
          <cell r="K65" t="str">
            <v>89-10</v>
          </cell>
          <cell r="L65" t="str">
            <v>91-12</v>
          </cell>
        </row>
        <row r="66">
          <cell r="B66" t="str">
            <v>N60</v>
          </cell>
          <cell r="C66" t="str">
            <v xml:space="preserve">    </v>
          </cell>
          <cell r="D66" t="str">
            <v xml:space="preserve"> 907</v>
          </cell>
          <cell r="E66" t="str">
            <v>C33</v>
          </cell>
          <cell r="F66" t="str">
            <v>C33</v>
          </cell>
          <cell r="G66" t="str">
            <v>村山</v>
          </cell>
          <cell r="H66" t="str">
            <v>(ﾏ)ﾛｰﾚﾙ</v>
          </cell>
          <cell r="I66" t="str">
            <v>久保川</v>
          </cell>
          <cell r="J66">
            <v>0</v>
          </cell>
          <cell r="K66" t="str">
            <v>89-12</v>
          </cell>
          <cell r="L66" t="str">
            <v>90-08</v>
          </cell>
        </row>
        <row r="67">
          <cell r="B67" t="str">
            <v>N61</v>
          </cell>
          <cell r="C67" t="str">
            <v xml:space="preserve"> IV </v>
          </cell>
          <cell r="D67" t="str">
            <v xml:space="preserve"> 912</v>
          </cell>
          <cell r="E67" t="str">
            <v>U13</v>
          </cell>
          <cell r="F67" t="str">
            <v>U13</v>
          </cell>
          <cell r="G67" t="str">
            <v>追浜</v>
          </cell>
          <cell r="H67" t="str">
            <v>(ﾓ)ﾌﾞﾙｰﾊﾞｰﾄﾞ</v>
          </cell>
          <cell r="I67" t="str">
            <v>石川</v>
          </cell>
          <cell r="J67">
            <v>0</v>
          </cell>
          <cell r="K67" t="str">
            <v>90-09</v>
          </cell>
          <cell r="L67" t="str">
            <v>91-07</v>
          </cell>
        </row>
        <row r="68">
          <cell r="B68" t="str">
            <v>N62</v>
          </cell>
          <cell r="C68" t="str">
            <v xml:space="preserve">    </v>
          </cell>
          <cell r="D68" t="str">
            <v xml:space="preserve"> 916</v>
          </cell>
          <cell r="E68" t="str">
            <v>M11</v>
          </cell>
          <cell r="F68" t="str">
            <v>M11</v>
          </cell>
          <cell r="G68" t="str">
            <v>日車</v>
          </cell>
          <cell r="H68" t="str">
            <v>(ﾓ)ﾌﾟﾚｰﾘｰ</v>
          </cell>
          <cell r="I68" t="str">
            <v>中島</v>
          </cell>
          <cell r="J68">
            <v>0</v>
          </cell>
          <cell r="K68" t="str">
            <v>90-02</v>
          </cell>
          <cell r="L68" t="str">
            <v>90-09</v>
          </cell>
        </row>
        <row r="69">
          <cell r="B69" t="str">
            <v>N63</v>
          </cell>
          <cell r="C69" t="str">
            <v xml:space="preserve"> TH </v>
          </cell>
          <cell r="D69" t="str">
            <v xml:space="preserve"> 917</v>
          </cell>
          <cell r="E69" t="str">
            <v>Y31</v>
          </cell>
          <cell r="F69" t="str">
            <v>Y31</v>
          </cell>
          <cell r="G69" t="str">
            <v>日車</v>
          </cell>
          <cell r="H69" t="str">
            <v>(ﾏ)ｾﾄﾞｸﾞﾛ,ｾﾀﾞﾝ</v>
          </cell>
          <cell r="I69" t="str">
            <v>中島</v>
          </cell>
          <cell r="J69">
            <v>0</v>
          </cell>
          <cell r="K69" t="str">
            <v>90-08</v>
          </cell>
          <cell r="L69" t="str">
            <v>91-04</v>
          </cell>
        </row>
        <row r="70">
          <cell r="B70" t="str">
            <v>N64</v>
          </cell>
          <cell r="C70" t="str">
            <v xml:space="preserve"> PE </v>
          </cell>
          <cell r="D70" t="str">
            <v xml:space="preserve"> 924</v>
          </cell>
          <cell r="E70" t="str">
            <v>FK10</v>
          </cell>
          <cell r="F70" t="str">
            <v>FK10</v>
          </cell>
          <cell r="G70" t="str">
            <v>高田</v>
          </cell>
          <cell r="H70" t="str">
            <v>(N)ﾌｨｶﾞﾛ</v>
          </cell>
          <cell r="I70" t="str">
            <v>中島</v>
          </cell>
          <cell r="J70">
            <v>0</v>
          </cell>
          <cell r="K70" t="str">
            <v>90-05</v>
          </cell>
          <cell r="L70" t="str">
            <v>90-12</v>
          </cell>
        </row>
        <row r="71">
          <cell r="B71" t="str">
            <v>N65</v>
          </cell>
          <cell r="C71" t="str">
            <v xml:space="preserve">    </v>
          </cell>
          <cell r="D71" t="str">
            <v xml:space="preserve"> 776</v>
          </cell>
          <cell r="E71" t="str">
            <v>W40</v>
          </cell>
          <cell r="F71" t="str">
            <v>W40</v>
          </cell>
          <cell r="G71" t="str">
            <v>日車</v>
          </cell>
          <cell r="H71" t="str">
            <v>(ﾏ)ｼﾋﾞﾘｱﾝ,ﾏｲｸﾛﾊﾞｽ</v>
          </cell>
          <cell r="I71" t="str">
            <v>中島</v>
          </cell>
          <cell r="J71">
            <v>0</v>
          </cell>
          <cell r="K71" t="str">
            <v>89-11</v>
          </cell>
          <cell r="L71" t="str">
            <v>90-06</v>
          </cell>
        </row>
        <row r="72">
          <cell r="B72" t="str">
            <v>N66</v>
          </cell>
          <cell r="C72" t="str">
            <v xml:space="preserve"> DC </v>
          </cell>
          <cell r="D72" t="str">
            <v xml:space="preserve"> 906</v>
          </cell>
          <cell r="E72" t="str">
            <v>K11</v>
          </cell>
          <cell r="F72" t="str">
            <v>K11</v>
          </cell>
          <cell r="G72" t="str">
            <v>村山</v>
          </cell>
          <cell r="H72" t="str">
            <v>(ﾓ)ﾏｰﾁ</v>
          </cell>
          <cell r="I72" t="str">
            <v>久保川</v>
          </cell>
          <cell r="J72">
            <v>0</v>
          </cell>
          <cell r="K72" t="str">
            <v>91-02</v>
          </cell>
          <cell r="L72" t="str">
            <v>91-12</v>
          </cell>
        </row>
        <row r="73">
          <cell r="B73" t="str">
            <v>N67</v>
          </cell>
          <cell r="C73" t="str">
            <v xml:space="preserve"> NY </v>
          </cell>
          <cell r="D73" t="str">
            <v xml:space="preserve"> 918</v>
          </cell>
          <cell r="E73" t="str">
            <v>JY32</v>
          </cell>
          <cell r="F73" t="str">
            <v>JY32</v>
          </cell>
          <cell r="G73" t="str">
            <v>栃木</v>
          </cell>
          <cell r="H73" t="str">
            <v>(N)ﾚﾊﾟｰﾄﾞ,Jﾌｪﾘｰ</v>
          </cell>
          <cell r="I73" t="str">
            <v>山口</v>
          </cell>
          <cell r="J73">
            <v>0</v>
          </cell>
          <cell r="K73" t="str">
            <v>91-03</v>
          </cell>
          <cell r="L73" t="str">
            <v>92-04</v>
          </cell>
        </row>
        <row r="74">
          <cell r="B74" t="str">
            <v>N68</v>
          </cell>
          <cell r="C74" t="str">
            <v xml:space="preserve">  A </v>
          </cell>
          <cell r="D74" t="str">
            <v xml:space="preserve"> 410</v>
          </cell>
          <cell r="E74">
            <v>0</v>
          </cell>
          <cell r="F74">
            <v>0</v>
          </cell>
          <cell r="G74" t="str">
            <v>日デ</v>
          </cell>
          <cell r="H74" t="str">
            <v>(ﾏ)ｺﾝﾄﾞﾙ,ｽﾃｰ違い</v>
          </cell>
          <cell r="I74" t="str">
            <v>林</v>
          </cell>
          <cell r="J74">
            <v>0</v>
          </cell>
          <cell r="K74">
            <v>0</v>
          </cell>
          <cell r="L74" t="str">
            <v>90-06</v>
          </cell>
        </row>
        <row r="75">
          <cell r="B75" t="str">
            <v>N69</v>
          </cell>
          <cell r="C75" t="str">
            <v xml:space="preserve">  A </v>
          </cell>
          <cell r="D75" t="str">
            <v xml:space="preserve"> 500</v>
          </cell>
          <cell r="E75">
            <v>0</v>
          </cell>
          <cell r="F75">
            <v>0</v>
          </cell>
          <cell r="G75" t="str">
            <v>日デ</v>
          </cell>
          <cell r="H75" t="str">
            <v>(ﾓ)ｺﾝﾄﾞﾙ</v>
          </cell>
          <cell r="I75" t="str">
            <v>林</v>
          </cell>
          <cell r="J75">
            <v>0</v>
          </cell>
          <cell r="K75" t="str">
            <v>91-12</v>
          </cell>
          <cell r="L75" t="str">
            <v>92-10</v>
          </cell>
        </row>
        <row r="76">
          <cell r="B76" t="str">
            <v>N70</v>
          </cell>
          <cell r="C76" t="str">
            <v xml:space="preserve">    </v>
          </cell>
          <cell r="D76" t="str">
            <v xml:space="preserve"> 921</v>
          </cell>
          <cell r="E76" t="str">
            <v>Z32</v>
          </cell>
          <cell r="F76" t="str">
            <v>Z32</v>
          </cell>
          <cell r="G76" t="str">
            <v>日車</v>
          </cell>
          <cell r="H76" t="str">
            <v>(ﾏ)ﾌｪｱﾚﾃﾞｨｰZ</v>
          </cell>
          <cell r="I76" t="str">
            <v>中島</v>
          </cell>
          <cell r="J76">
            <v>0</v>
          </cell>
          <cell r="K76" t="str">
            <v>90-11</v>
          </cell>
          <cell r="L76" t="str">
            <v>91-09</v>
          </cell>
        </row>
        <row r="77">
          <cell r="B77" t="str">
            <v>N71</v>
          </cell>
          <cell r="C77" t="str">
            <v xml:space="preserve"> JQ </v>
          </cell>
          <cell r="D77" t="str">
            <v xml:space="preserve"> 950</v>
          </cell>
          <cell r="E77" t="str">
            <v>C34</v>
          </cell>
          <cell r="F77" t="str">
            <v>C34</v>
          </cell>
          <cell r="G77" t="str">
            <v>村山</v>
          </cell>
          <cell r="H77" t="str">
            <v>(ﾓ)ﾛｰﾚﾙ</v>
          </cell>
          <cell r="I77" t="str">
            <v>久保川</v>
          </cell>
          <cell r="J77">
            <v>0</v>
          </cell>
          <cell r="K77" t="str">
            <v>92-01</v>
          </cell>
          <cell r="L77" t="str">
            <v>92-12</v>
          </cell>
        </row>
        <row r="78">
          <cell r="B78" t="str">
            <v>N72</v>
          </cell>
          <cell r="C78" t="str">
            <v xml:space="preserve">    </v>
          </cell>
          <cell r="D78" t="str">
            <v xml:space="preserve"> 925</v>
          </cell>
          <cell r="E78" t="str">
            <v>D21</v>
          </cell>
          <cell r="F78" t="str">
            <v>D21</v>
          </cell>
          <cell r="G78" t="str">
            <v>日車</v>
          </cell>
          <cell r="H78" t="str">
            <v>(ﾏ)ﾀﾞｯﾄﾗ</v>
          </cell>
          <cell r="I78" t="str">
            <v>中島</v>
          </cell>
          <cell r="J78">
            <v>0</v>
          </cell>
          <cell r="K78">
            <v>0</v>
          </cell>
          <cell r="L78" t="str">
            <v>92-07</v>
          </cell>
        </row>
        <row r="79">
          <cell r="B79" t="str">
            <v>N73</v>
          </cell>
          <cell r="C79" t="str">
            <v xml:space="preserve">    </v>
          </cell>
          <cell r="D79" t="str">
            <v xml:space="preserve"> 915</v>
          </cell>
          <cell r="E79" t="str">
            <v>R32</v>
          </cell>
          <cell r="F79" t="str">
            <v>R32</v>
          </cell>
          <cell r="G79" t="str">
            <v>村山</v>
          </cell>
          <cell r="H79" t="str">
            <v>(ﾏ)ｽｶｲﾗｲﾝ</v>
          </cell>
          <cell r="I79" t="str">
            <v>久保川</v>
          </cell>
          <cell r="J79">
            <v>0</v>
          </cell>
          <cell r="K79" t="str">
            <v>90-09</v>
          </cell>
          <cell r="L79" t="str">
            <v>91-06</v>
          </cell>
        </row>
        <row r="80">
          <cell r="B80" t="str">
            <v>N74</v>
          </cell>
          <cell r="C80" t="str">
            <v xml:space="preserve">    </v>
          </cell>
          <cell r="D80" t="str">
            <v xml:space="preserve"> 971</v>
          </cell>
          <cell r="E80" t="str">
            <v>Y60</v>
          </cell>
          <cell r="F80" t="str">
            <v>Y60</v>
          </cell>
          <cell r="G80" t="str">
            <v>九州</v>
          </cell>
          <cell r="H80" t="str">
            <v>(ﾏ)ｻﾌｧﾘ</v>
          </cell>
          <cell r="I80" t="str">
            <v>高木</v>
          </cell>
          <cell r="J80">
            <v>0</v>
          </cell>
          <cell r="K80" t="str">
            <v>90-08</v>
          </cell>
          <cell r="L80" t="str">
            <v>94-04</v>
          </cell>
        </row>
        <row r="81">
          <cell r="B81" t="str">
            <v>N75</v>
          </cell>
          <cell r="C81" t="str">
            <v xml:space="preserve">    </v>
          </cell>
          <cell r="D81" t="str">
            <v xml:space="preserve"> 768</v>
          </cell>
          <cell r="E81" t="str">
            <v>D21</v>
          </cell>
          <cell r="F81" t="str">
            <v>D21</v>
          </cell>
          <cell r="G81" t="str">
            <v>九州</v>
          </cell>
          <cell r="H81" t="str">
            <v>(ﾏ)ﾃﾗﾉ</v>
          </cell>
          <cell r="I81" t="str">
            <v>高木</v>
          </cell>
          <cell r="J81">
            <v>0</v>
          </cell>
          <cell r="K81">
            <v>0</v>
          </cell>
          <cell r="L81" t="str">
            <v>90-05</v>
          </cell>
        </row>
        <row r="82">
          <cell r="B82" t="str">
            <v>N76</v>
          </cell>
          <cell r="C82" t="str">
            <v xml:space="preserve">    </v>
          </cell>
          <cell r="D82" t="str">
            <v xml:space="preserve"> 942</v>
          </cell>
          <cell r="E82" t="str">
            <v>G50</v>
          </cell>
          <cell r="F82" t="str">
            <v>G50</v>
          </cell>
          <cell r="G82" t="str">
            <v>栃木</v>
          </cell>
          <cell r="H82" t="str">
            <v>(ﾏ)ｲﾝﾌｨﾆﾃｨｰ</v>
          </cell>
          <cell r="I82" t="str">
            <v>山口</v>
          </cell>
          <cell r="J82">
            <v>0</v>
          </cell>
          <cell r="K82" t="str">
            <v>92-05</v>
          </cell>
          <cell r="L82" t="str">
            <v>93-05</v>
          </cell>
        </row>
        <row r="83">
          <cell r="B83" t="str">
            <v>N77</v>
          </cell>
          <cell r="C83" t="str">
            <v xml:space="preserve">    </v>
          </cell>
          <cell r="D83" t="str">
            <v xml:space="preserve"> 922</v>
          </cell>
          <cell r="E83" t="str">
            <v>C22</v>
          </cell>
          <cell r="F83" t="str">
            <v>C22</v>
          </cell>
          <cell r="G83" t="str">
            <v>愛知</v>
          </cell>
          <cell r="H83" t="str">
            <v>(ﾏ)ﾊﾞﾈｯﾄﾊﾞﾝ</v>
          </cell>
          <cell r="I83" t="str">
            <v>石川</v>
          </cell>
          <cell r="J83">
            <v>0</v>
          </cell>
          <cell r="K83" t="str">
            <v>90-07</v>
          </cell>
          <cell r="L83" t="str">
            <v>91-03</v>
          </cell>
        </row>
        <row r="84">
          <cell r="B84" t="str">
            <v>N78</v>
          </cell>
          <cell r="C84" t="str">
            <v xml:space="preserve">    </v>
          </cell>
          <cell r="D84" t="str">
            <v xml:space="preserve"> 927</v>
          </cell>
          <cell r="E84" t="str">
            <v>B13</v>
          </cell>
          <cell r="F84" t="str">
            <v>B13</v>
          </cell>
          <cell r="G84" t="str">
            <v>座間</v>
          </cell>
          <cell r="H84" t="str">
            <v>(ﾏ)ｻﾆｰ</v>
          </cell>
          <cell r="I84" t="str">
            <v>高木</v>
          </cell>
          <cell r="J84">
            <v>0</v>
          </cell>
          <cell r="K84" t="str">
            <v>91-01</v>
          </cell>
          <cell r="L84" t="str">
            <v>91-11</v>
          </cell>
        </row>
        <row r="85">
          <cell r="B85" t="str">
            <v>N79</v>
          </cell>
          <cell r="C85" t="str">
            <v xml:space="preserve">    </v>
          </cell>
          <cell r="D85" t="str">
            <v xml:space="preserve"> 929</v>
          </cell>
          <cell r="E85" t="str">
            <v>A31</v>
          </cell>
          <cell r="F85" t="str">
            <v>A31</v>
          </cell>
          <cell r="G85" t="str">
            <v>村山</v>
          </cell>
          <cell r="H85" t="str">
            <v>(ﾏ)ｾﾌｨｰﾛ</v>
          </cell>
          <cell r="I85" t="str">
            <v>久保川</v>
          </cell>
          <cell r="J85">
            <v>0</v>
          </cell>
          <cell r="K85" t="str">
            <v>91-06</v>
          </cell>
          <cell r="L85" t="str">
            <v>92-03</v>
          </cell>
        </row>
        <row r="86">
          <cell r="B86" t="str">
            <v>N80</v>
          </cell>
          <cell r="C86" t="str">
            <v xml:space="preserve">    </v>
          </cell>
          <cell r="D86" t="str">
            <v xml:space="preserve"> 771</v>
          </cell>
          <cell r="E86" t="str">
            <v>B13</v>
          </cell>
          <cell r="F86" t="str">
            <v>B13</v>
          </cell>
          <cell r="G86" t="str">
            <v>ｵｰﾃｯｸ</v>
          </cell>
          <cell r="H86" t="str">
            <v>( )ｻﾆｰ改造車</v>
          </cell>
          <cell r="I86" t="str">
            <v>清田</v>
          </cell>
          <cell r="J86">
            <v>0</v>
          </cell>
          <cell r="K86">
            <v>0</v>
          </cell>
          <cell r="L86" t="str">
            <v>90-09</v>
          </cell>
        </row>
        <row r="87">
          <cell r="B87" t="str">
            <v>N81</v>
          </cell>
          <cell r="C87" t="str">
            <v xml:space="preserve">    </v>
          </cell>
          <cell r="D87" t="str">
            <v xml:space="preserve"> 934</v>
          </cell>
          <cell r="E87" t="str">
            <v>M11</v>
          </cell>
          <cell r="F87" t="str">
            <v>M11</v>
          </cell>
          <cell r="G87" t="str">
            <v>日車</v>
          </cell>
          <cell r="H87" t="str">
            <v>(ﾏ)ﾌﾟﾚｰﾘｰ</v>
          </cell>
          <cell r="I87" t="str">
            <v>中島</v>
          </cell>
          <cell r="J87">
            <v>0</v>
          </cell>
          <cell r="K87">
            <v>0</v>
          </cell>
          <cell r="L87" t="str">
            <v>91-12</v>
          </cell>
        </row>
        <row r="88">
          <cell r="B88" t="str">
            <v>N82</v>
          </cell>
          <cell r="C88" t="str">
            <v xml:space="preserve">  W </v>
          </cell>
          <cell r="D88" t="str">
            <v xml:space="preserve"> 773</v>
          </cell>
          <cell r="E88" t="str">
            <v>Y60</v>
          </cell>
          <cell r="F88" t="str">
            <v>Y60</v>
          </cell>
          <cell r="G88" t="str">
            <v>九州</v>
          </cell>
          <cell r="H88" t="str">
            <v>(ﾏ)ｻﾌｧﾘ</v>
          </cell>
          <cell r="I88" t="str">
            <v>高木</v>
          </cell>
          <cell r="J88">
            <v>0</v>
          </cell>
          <cell r="K88" t="str">
            <v>90-12</v>
          </cell>
          <cell r="L88" t="str">
            <v>91-02</v>
          </cell>
        </row>
        <row r="89">
          <cell r="B89" t="str">
            <v>N83</v>
          </cell>
          <cell r="C89" t="str">
            <v xml:space="preserve">    </v>
          </cell>
          <cell r="D89" t="str">
            <v xml:space="preserve"> 949</v>
          </cell>
          <cell r="E89" t="str">
            <v>R10</v>
          </cell>
          <cell r="F89" t="str">
            <v>R10</v>
          </cell>
          <cell r="G89" t="str">
            <v>座間</v>
          </cell>
          <cell r="H89" t="str">
            <v>(ﾏ)ﾌﾟﾚｾｱ</v>
          </cell>
          <cell r="I89" t="str">
            <v>高木</v>
          </cell>
          <cell r="J89">
            <v>0</v>
          </cell>
          <cell r="K89" t="str">
            <v>91-08</v>
          </cell>
          <cell r="L89" t="str">
            <v>92-04</v>
          </cell>
        </row>
        <row r="90">
          <cell r="B90" t="str">
            <v>N84</v>
          </cell>
          <cell r="C90" t="str">
            <v xml:space="preserve">    </v>
          </cell>
          <cell r="D90" t="str">
            <v xml:space="preserve"> 938</v>
          </cell>
          <cell r="E90" t="str">
            <v>K30</v>
          </cell>
          <cell r="F90" t="str">
            <v>K30</v>
          </cell>
          <cell r="G90" t="str">
            <v>日車</v>
          </cell>
          <cell r="H90" t="str">
            <v>(N)ｸﾙｰ</v>
          </cell>
          <cell r="I90" t="str">
            <v>中島</v>
          </cell>
          <cell r="J90">
            <v>0</v>
          </cell>
          <cell r="K90" t="str">
            <v>92-03</v>
          </cell>
          <cell r="L90" t="str">
            <v>93-06</v>
          </cell>
        </row>
        <row r="91">
          <cell r="B91" t="str">
            <v>N85</v>
          </cell>
          <cell r="C91" t="str">
            <v xml:space="preserve">GNC </v>
          </cell>
          <cell r="D91" t="str">
            <v xml:space="preserve"> 943</v>
          </cell>
          <cell r="E91" t="str">
            <v>W30</v>
          </cell>
          <cell r="F91" t="str">
            <v>W30</v>
          </cell>
          <cell r="G91" t="str">
            <v>愛知</v>
          </cell>
          <cell r="H91" t="str">
            <v>(ﾓ)ﾗﾙｺﾞ</v>
          </cell>
          <cell r="I91" t="str">
            <v>山中</v>
          </cell>
          <cell r="J91">
            <v>0</v>
          </cell>
          <cell r="K91" t="str">
            <v>92-03</v>
          </cell>
          <cell r="L91" t="str">
            <v>93-04</v>
          </cell>
        </row>
        <row r="92">
          <cell r="B92" t="str">
            <v>N86</v>
          </cell>
          <cell r="C92" t="str">
            <v xml:space="preserve"> UN </v>
          </cell>
          <cell r="D92" t="str">
            <v xml:space="preserve">    </v>
          </cell>
          <cell r="E92">
            <v>0</v>
          </cell>
          <cell r="F92">
            <v>0</v>
          </cell>
          <cell r="G92" t="str">
            <v>試作</v>
          </cell>
          <cell r="H92" t="str">
            <v>(N)'91 東京ﾓｰﾀｰｼｮｰ車</v>
          </cell>
          <cell r="I92">
            <v>0</v>
          </cell>
          <cell r="J92">
            <v>0</v>
          </cell>
          <cell r="K92">
            <v>0</v>
          </cell>
          <cell r="L92" t="str">
            <v>91-04</v>
          </cell>
        </row>
        <row r="93">
          <cell r="B93" t="str">
            <v>N87</v>
          </cell>
          <cell r="C93" t="str">
            <v xml:space="preserve">    </v>
          </cell>
          <cell r="D93" t="str">
            <v xml:space="preserve"> 955</v>
          </cell>
          <cell r="E93" t="str">
            <v>N14</v>
          </cell>
          <cell r="F93" t="str">
            <v>N14</v>
          </cell>
          <cell r="G93" t="str">
            <v>九州</v>
          </cell>
          <cell r="H93" t="str">
            <v>(ﾏ)ﾊﾟﾙｻｰ</v>
          </cell>
          <cell r="I93" t="str">
            <v>高木</v>
          </cell>
          <cell r="J93">
            <v>0</v>
          </cell>
          <cell r="K93" t="str">
            <v>91-09</v>
          </cell>
          <cell r="L93" t="str">
            <v>92-06</v>
          </cell>
        </row>
        <row r="94">
          <cell r="B94" t="str">
            <v>N88</v>
          </cell>
          <cell r="C94" t="str">
            <v xml:space="preserve">    </v>
          </cell>
          <cell r="D94" t="str">
            <v xml:space="preserve"> 798</v>
          </cell>
          <cell r="E94" t="str">
            <v>D21</v>
          </cell>
          <cell r="F94" t="str">
            <v>D21</v>
          </cell>
          <cell r="G94" t="str">
            <v>日車</v>
          </cell>
          <cell r="H94" t="str">
            <v>(ﾏ)ﾀﾞｯﾄﾗ</v>
          </cell>
          <cell r="I94" t="str">
            <v>中島</v>
          </cell>
          <cell r="J94">
            <v>0</v>
          </cell>
          <cell r="K94" t="str">
            <v>91-06</v>
          </cell>
          <cell r="L94" t="str">
            <v>91-08</v>
          </cell>
        </row>
        <row r="95">
          <cell r="B95" t="str">
            <v>N89</v>
          </cell>
          <cell r="C95" t="str">
            <v xml:space="preserve"> UC </v>
          </cell>
          <cell r="D95" t="str">
            <v xml:space="preserve">    </v>
          </cell>
          <cell r="E95">
            <v>0</v>
          </cell>
          <cell r="F95">
            <v>0</v>
          </cell>
          <cell r="G95" t="str">
            <v>試作</v>
          </cell>
          <cell r="H95" t="str">
            <v>(N)'91 東京ﾓｰﾀｰｼｮｰ車</v>
          </cell>
          <cell r="I95">
            <v>0</v>
          </cell>
          <cell r="J95">
            <v>0</v>
          </cell>
          <cell r="K95">
            <v>0</v>
          </cell>
          <cell r="L95" t="str">
            <v>91-05</v>
          </cell>
        </row>
        <row r="96">
          <cell r="B96" t="str">
            <v>N90</v>
          </cell>
          <cell r="C96" t="str">
            <v xml:space="preserve">    </v>
          </cell>
          <cell r="D96" t="str">
            <v xml:space="preserve"> 940</v>
          </cell>
          <cell r="E96" t="str">
            <v>D21</v>
          </cell>
          <cell r="F96" t="str">
            <v>D21</v>
          </cell>
          <cell r="G96" t="str">
            <v>日車</v>
          </cell>
          <cell r="H96" t="str">
            <v>(ﾏ)ﾀﾞｯﾄﾗ安全車(北米)</v>
          </cell>
          <cell r="I96" t="str">
            <v>中島</v>
          </cell>
          <cell r="J96">
            <v>0</v>
          </cell>
          <cell r="K96" t="str">
            <v>91-07</v>
          </cell>
          <cell r="L96" t="str">
            <v>93-08</v>
          </cell>
        </row>
        <row r="97">
          <cell r="B97" t="str">
            <v>N91</v>
          </cell>
          <cell r="C97" t="str">
            <v xml:space="preserve">    </v>
          </cell>
          <cell r="D97" t="str">
            <v xml:space="preserve"> 932</v>
          </cell>
          <cell r="E97" t="str">
            <v>D21</v>
          </cell>
          <cell r="F97" t="str">
            <v>D21</v>
          </cell>
          <cell r="G97" t="str">
            <v>日車九州</v>
          </cell>
          <cell r="H97" t="str">
            <v>(ﾏ)ﾀﾞｯﾄﾗ,(ﾏ)ﾃﾗﾉ</v>
          </cell>
          <cell r="I97" t="str">
            <v>中島</v>
          </cell>
          <cell r="J97">
            <v>0</v>
          </cell>
          <cell r="K97" t="str">
            <v>91-10</v>
          </cell>
          <cell r="L97" t="str">
            <v>92-07</v>
          </cell>
        </row>
        <row r="98">
          <cell r="B98" t="str">
            <v>N92</v>
          </cell>
          <cell r="C98" t="str">
            <v xml:space="preserve">    </v>
          </cell>
          <cell r="D98" t="str">
            <v xml:space="preserve"> 954</v>
          </cell>
          <cell r="E98" t="str">
            <v>W10</v>
          </cell>
          <cell r="F98" t="str">
            <v>W10</v>
          </cell>
          <cell r="G98" t="str">
            <v>日車</v>
          </cell>
          <cell r="H98" t="str">
            <v>(ﾏ)ｱﾍﾞﾆｰﾙ</v>
          </cell>
          <cell r="I98" t="str">
            <v>中島</v>
          </cell>
          <cell r="J98">
            <v>0</v>
          </cell>
          <cell r="K98" t="str">
            <v>91-10</v>
          </cell>
          <cell r="L98" t="str">
            <v>92-09</v>
          </cell>
        </row>
        <row r="99">
          <cell r="B99" t="str">
            <v>N93</v>
          </cell>
          <cell r="C99" t="str">
            <v xml:space="preserve"> DC </v>
          </cell>
          <cell r="D99" t="str">
            <v xml:space="preserve"> 906</v>
          </cell>
          <cell r="E99" t="str">
            <v>K11</v>
          </cell>
          <cell r="F99" t="str">
            <v>K11</v>
          </cell>
          <cell r="G99">
            <v>0</v>
          </cell>
          <cell r="H99" t="str">
            <v>( )台湾ﾏｰﾁ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B100" t="str">
            <v>N94</v>
          </cell>
          <cell r="C100" t="str">
            <v xml:space="preserve">FEV </v>
          </cell>
          <cell r="D100" t="str">
            <v xml:space="preserve">    </v>
          </cell>
          <cell r="E100">
            <v>0</v>
          </cell>
          <cell r="F100">
            <v>0</v>
          </cell>
          <cell r="G100" t="str">
            <v>試作</v>
          </cell>
          <cell r="H100" t="str">
            <v>(N)'91 東京ﾓｰﾀｰｼｮｰ車</v>
          </cell>
          <cell r="I100">
            <v>0</v>
          </cell>
          <cell r="J100">
            <v>0</v>
          </cell>
          <cell r="K100">
            <v>0</v>
          </cell>
          <cell r="L100" t="str">
            <v>91-06</v>
          </cell>
        </row>
        <row r="101">
          <cell r="B101" t="str">
            <v>N95</v>
          </cell>
          <cell r="C101" t="str">
            <v xml:space="preserve"> PJ </v>
          </cell>
          <cell r="D101" t="str">
            <v xml:space="preserve"> 967</v>
          </cell>
          <cell r="E101" t="str">
            <v>R33</v>
          </cell>
          <cell r="F101" t="str">
            <v>R33</v>
          </cell>
          <cell r="G101" t="str">
            <v>村山</v>
          </cell>
          <cell r="H101" t="str">
            <v>(ﾓ)ｽｶｲﾗｲﾝ</v>
          </cell>
          <cell r="I101" t="str">
            <v>久保川</v>
          </cell>
          <cell r="J101">
            <v>0</v>
          </cell>
          <cell r="K101" t="str">
            <v>92-07</v>
          </cell>
          <cell r="L101" t="str">
            <v>93-07</v>
          </cell>
        </row>
        <row r="102">
          <cell r="B102" t="str">
            <v>N96</v>
          </cell>
          <cell r="C102" t="str">
            <v xml:space="preserve"> RG </v>
          </cell>
          <cell r="D102" t="str">
            <v xml:space="preserve"> 973</v>
          </cell>
          <cell r="E102" t="str">
            <v>S14</v>
          </cell>
          <cell r="F102" t="str">
            <v>S14</v>
          </cell>
          <cell r="G102" t="str">
            <v>九州</v>
          </cell>
          <cell r="H102" t="str">
            <v>(ﾓ)ｼﾙﾋﾞｱ</v>
          </cell>
          <cell r="I102" t="str">
            <v>高木</v>
          </cell>
          <cell r="J102">
            <v>0</v>
          </cell>
          <cell r="K102" t="str">
            <v>92-07</v>
          </cell>
          <cell r="L102" t="str">
            <v>93-09</v>
          </cell>
        </row>
        <row r="103">
          <cell r="B103" t="str">
            <v>N97</v>
          </cell>
          <cell r="C103" t="str">
            <v xml:space="preserve">    </v>
          </cell>
          <cell r="D103" t="str">
            <v xml:space="preserve"> 923</v>
          </cell>
          <cell r="E103" t="str">
            <v>W30</v>
          </cell>
          <cell r="F103" t="str">
            <v>W30</v>
          </cell>
          <cell r="G103" t="str">
            <v>愛知</v>
          </cell>
          <cell r="H103" t="str">
            <v>(ﾏ)ﾗﾙｺﾞ</v>
          </cell>
          <cell r="I103" t="str">
            <v>山中</v>
          </cell>
          <cell r="J103">
            <v>0</v>
          </cell>
          <cell r="K103">
            <v>0</v>
          </cell>
          <cell r="L103" t="str">
            <v>92-01</v>
          </cell>
        </row>
        <row r="104">
          <cell r="B104" t="str">
            <v>N98</v>
          </cell>
          <cell r="C104" t="str">
            <v xml:space="preserve">    </v>
          </cell>
          <cell r="D104" t="str">
            <v xml:space="preserve"> 936</v>
          </cell>
          <cell r="E104" t="str">
            <v>P10</v>
          </cell>
          <cell r="F104" t="str">
            <v>P10</v>
          </cell>
          <cell r="G104" t="str">
            <v>追浜</v>
          </cell>
          <cell r="H104" t="str">
            <v>(ﾏ)ﾌﾟﾘﾒｰﾗ</v>
          </cell>
          <cell r="I104" t="str">
            <v>石川</v>
          </cell>
          <cell r="J104">
            <v>0</v>
          </cell>
          <cell r="K104" t="str">
            <v>91-11</v>
          </cell>
          <cell r="L104" t="str">
            <v>93-12</v>
          </cell>
        </row>
        <row r="105">
          <cell r="B105" t="str">
            <v>N99</v>
          </cell>
          <cell r="C105" t="str">
            <v xml:space="preserve">    </v>
          </cell>
          <cell r="D105" t="str">
            <v xml:space="preserve"> 968</v>
          </cell>
          <cell r="E105" t="str">
            <v>Z32</v>
          </cell>
          <cell r="F105" t="str">
            <v>Z32</v>
          </cell>
          <cell r="G105" t="str">
            <v>日車</v>
          </cell>
          <cell r="H105" t="str">
            <v>(ﾏ)ﾌｪｱﾚﾃﾞｨｰZ</v>
          </cell>
          <cell r="I105" t="str">
            <v>中島</v>
          </cell>
          <cell r="J105">
            <v>0</v>
          </cell>
          <cell r="K105" t="str">
            <v>91-10</v>
          </cell>
          <cell r="L105" t="str">
            <v>93-07</v>
          </cell>
        </row>
        <row r="106">
          <cell r="B106" t="str">
            <v>A00</v>
          </cell>
          <cell r="C106" t="str">
            <v xml:space="preserve"> HF </v>
          </cell>
          <cell r="D106" t="str">
            <v xml:space="preserve"> 976</v>
          </cell>
          <cell r="E106" t="str">
            <v>B14</v>
          </cell>
          <cell r="F106" t="str">
            <v>B14</v>
          </cell>
          <cell r="G106" t="str">
            <v>座間</v>
          </cell>
          <cell r="H106" t="str">
            <v>(ﾓ)ｻﾆｰ</v>
          </cell>
          <cell r="I106" t="str">
            <v>高木</v>
          </cell>
          <cell r="J106">
            <v>0</v>
          </cell>
          <cell r="K106" t="str">
            <v>93-01</v>
          </cell>
          <cell r="L106" t="str">
            <v>93-12</v>
          </cell>
        </row>
        <row r="107">
          <cell r="B107" t="str">
            <v>A01</v>
          </cell>
          <cell r="C107" t="str">
            <v xml:space="preserve">    </v>
          </cell>
          <cell r="D107" t="str">
            <v xml:space="preserve"> 956</v>
          </cell>
          <cell r="E107" t="str">
            <v>B13</v>
          </cell>
          <cell r="F107" t="str">
            <v>B13</v>
          </cell>
          <cell r="G107" t="str">
            <v>日車</v>
          </cell>
          <cell r="H107" t="str">
            <v>(ﾓ)V,W ｻﾆｰ</v>
          </cell>
          <cell r="I107" t="str">
            <v>中島</v>
          </cell>
          <cell r="J107">
            <v>0</v>
          </cell>
          <cell r="K107" t="str">
            <v>92-01</v>
          </cell>
          <cell r="L107" t="str">
            <v>93-08</v>
          </cell>
        </row>
        <row r="108">
          <cell r="B108" t="str">
            <v>A02a</v>
          </cell>
          <cell r="C108" t="str">
            <v xml:space="preserve">APQ </v>
          </cell>
          <cell r="D108" t="str">
            <v xml:space="preserve"> 975</v>
          </cell>
          <cell r="E108" t="str">
            <v>A32</v>
          </cell>
          <cell r="F108" t="str">
            <v>A32</v>
          </cell>
          <cell r="G108" t="str">
            <v>追浜</v>
          </cell>
          <cell r="H108" t="str">
            <v>(N)ﾏｷｼﾏ,ｾﾀﾞﾝ(北米)</v>
          </cell>
          <cell r="I108" t="str">
            <v>石川</v>
          </cell>
          <cell r="J108">
            <v>0</v>
          </cell>
          <cell r="K108" t="str">
            <v>93-03</v>
          </cell>
          <cell r="L108" t="str">
            <v>94-02</v>
          </cell>
        </row>
        <row r="109">
          <cell r="B109" t="str">
            <v>A02i</v>
          </cell>
          <cell r="C109" t="str">
            <v xml:space="preserve">IPQ </v>
          </cell>
          <cell r="D109" t="str">
            <v xml:space="preserve"> 975</v>
          </cell>
          <cell r="E109" t="str">
            <v>A32</v>
          </cell>
          <cell r="F109" t="str">
            <v>A32</v>
          </cell>
          <cell r="G109" t="str">
            <v>追浜</v>
          </cell>
          <cell r="H109" t="str">
            <v>(N)ｾﾌｨｰﾛ(国内),ｲﾝﾌｨﾆﾃｨｰ(北米)</v>
          </cell>
          <cell r="I109" t="str">
            <v>石川</v>
          </cell>
          <cell r="J109">
            <v>0</v>
          </cell>
          <cell r="K109" t="str">
            <v>93-03</v>
          </cell>
          <cell r="L109" t="str">
            <v>94-07</v>
          </cell>
        </row>
        <row r="110">
          <cell r="B110" t="str">
            <v>A03</v>
          </cell>
          <cell r="C110" t="str">
            <v xml:space="preserve"> EW </v>
          </cell>
          <cell r="D110" t="str">
            <v xml:space="preserve">    </v>
          </cell>
          <cell r="E110" t="str">
            <v>E24</v>
          </cell>
          <cell r="F110" t="str">
            <v>E24</v>
          </cell>
          <cell r="G110" t="str">
            <v>日車</v>
          </cell>
          <cell r="H110" t="str">
            <v>(ﾓ)ｷｬﾗﾊﾞﾝ ｺｰﾁ</v>
          </cell>
          <cell r="I110" t="str">
            <v>中島</v>
          </cell>
          <cell r="J110">
            <v>0</v>
          </cell>
          <cell r="K110" t="str">
            <v>94-02</v>
          </cell>
          <cell r="L110" t="str">
            <v>95-02</v>
          </cell>
        </row>
        <row r="111">
          <cell r="B111" t="str">
            <v>A04</v>
          </cell>
          <cell r="C111" t="str">
            <v xml:space="preserve">    </v>
          </cell>
          <cell r="D111" t="str">
            <v xml:space="preserve"> 974</v>
          </cell>
          <cell r="E111" t="str">
            <v>Y31</v>
          </cell>
          <cell r="F111" t="str">
            <v>Y31</v>
          </cell>
          <cell r="G111" t="str">
            <v>日車</v>
          </cell>
          <cell r="H111" t="str">
            <v>(ﾏ)ｾﾄﾞｸﾞﾛ,ｾﾀﾞﾝ</v>
          </cell>
          <cell r="I111" t="str">
            <v>中島</v>
          </cell>
          <cell r="J111">
            <v>0</v>
          </cell>
          <cell r="K111" t="str">
            <v>92-08</v>
          </cell>
          <cell r="L111" t="str">
            <v>93-04</v>
          </cell>
        </row>
        <row r="112">
          <cell r="B112" t="str">
            <v>A05</v>
          </cell>
          <cell r="C112" t="str">
            <v xml:space="preserve">    </v>
          </cell>
          <cell r="D112" t="str">
            <v xml:space="preserve"> 972</v>
          </cell>
          <cell r="E112" t="str">
            <v>Y32</v>
          </cell>
          <cell r="F112" t="str">
            <v>Y32</v>
          </cell>
          <cell r="G112" t="str">
            <v>栃木</v>
          </cell>
          <cell r="H112" t="str">
            <v>(ﾏ)ｾﾄﾞﾘｯｸ､ｸﾞﾛﾘｱ</v>
          </cell>
          <cell r="I112" t="str">
            <v>山口</v>
          </cell>
          <cell r="J112">
            <v>0</v>
          </cell>
          <cell r="K112" t="str">
            <v>92-08</v>
          </cell>
          <cell r="L112" t="str">
            <v>93-04</v>
          </cell>
        </row>
        <row r="113">
          <cell r="B113" t="str">
            <v>A06</v>
          </cell>
          <cell r="C113" t="str">
            <v xml:space="preserve"> RF </v>
          </cell>
          <cell r="D113" t="str">
            <v xml:space="preserve"> 990</v>
          </cell>
          <cell r="E113" t="str">
            <v>N15</v>
          </cell>
          <cell r="F113" t="str">
            <v>N15</v>
          </cell>
          <cell r="G113" t="str">
            <v>九州</v>
          </cell>
          <cell r="H113" t="str">
            <v>(ﾓ)ﾊﾟﾙｻｰ</v>
          </cell>
          <cell r="I113" t="str">
            <v>高木</v>
          </cell>
          <cell r="J113">
            <v>0</v>
          </cell>
          <cell r="K113" t="str">
            <v>93-08</v>
          </cell>
          <cell r="L113" t="str">
            <v>94-11</v>
          </cell>
        </row>
        <row r="114">
          <cell r="B114" t="str">
            <v>A07</v>
          </cell>
          <cell r="C114" t="str">
            <v xml:space="preserve">    </v>
          </cell>
          <cell r="D114" t="str">
            <v xml:space="preserve"> 926</v>
          </cell>
          <cell r="E114">
            <v>0</v>
          </cell>
          <cell r="F114">
            <v>0</v>
          </cell>
          <cell r="G114" t="str">
            <v>日車</v>
          </cell>
          <cell r="H114" t="str">
            <v>(N)ｱｼﾞｱｶｰ</v>
          </cell>
          <cell r="I114" t="str">
            <v>中島</v>
          </cell>
          <cell r="J114">
            <v>0</v>
          </cell>
          <cell r="K114">
            <v>0</v>
          </cell>
          <cell r="L114" t="str">
            <v>93-06</v>
          </cell>
        </row>
        <row r="115">
          <cell r="B115" t="str">
            <v>A08</v>
          </cell>
          <cell r="C115" t="str">
            <v xml:space="preserve">    </v>
          </cell>
          <cell r="D115" t="str">
            <v xml:space="preserve"> 970</v>
          </cell>
          <cell r="E115" t="str">
            <v>G50</v>
          </cell>
          <cell r="F115" t="str">
            <v>G50</v>
          </cell>
          <cell r="G115" t="str">
            <v>栃木</v>
          </cell>
          <cell r="H115" t="str">
            <v>( )Q45ｲﾝﾌｨﾆﾃｨ(北米)</v>
          </cell>
          <cell r="I115" t="str">
            <v>山口</v>
          </cell>
          <cell r="J115">
            <v>0</v>
          </cell>
          <cell r="K115">
            <v>0</v>
          </cell>
          <cell r="L115" t="str">
            <v>92-06</v>
          </cell>
        </row>
        <row r="116">
          <cell r="B116" t="str">
            <v>A09</v>
          </cell>
          <cell r="C116" t="str">
            <v xml:space="preserve">  A </v>
          </cell>
          <cell r="D116" t="str">
            <v xml:space="preserve"> 490</v>
          </cell>
          <cell r="E116">
            <v>0</v>
          </cell>
          <cell r="F116">
            <v>0</v>
          </cell>
          <cell r="G116" t="str">
            <v>日デ</v>
          </cell>
          <cell r="H116" t="str">
            <v>(ﾏ)大ﾄﾗ</v>
          </cell>
          <cell r="I116" t="str">
            <v>林</v>
          </cell>
          <cell r="J116">
            <v>0</v>
          </cell>
          <cell r="K116" t="str">
            <v>92-08</v>
          </cell>
          <cell r="L116" t="str">
            <v>92-11</v>
          </cell>
        </row>
        <row r="117">
          <cell r="B117" t="str">
            <v>A10</v>
          </cell>
          <cell r="C117" t="str">
            <v xml:space="preserve">    </v>
          </cell>
          <cell r="D117" t="str">
            <v xml:space="preserve"> 986</v>
          </cell>
          <cell r="E117" t="str">
            <v>C23</v>
          </cell>
          <cell r="F117" t="str">
            <v>C23</v>
          </cell>
          <cell r="G117" t="str">
            <v>愛知</v>
          </cell>
          <cell r="H117" t="str">
            <v>(ﾏ)ﾊﾞﾈｯﾄｾﾚﾅ</v>
          </cell>
          <cell r="I117" t="str">
            <v>石川</v>
          </cell>
          <cell r="J117">
            <v>0</v>
          </cell>
          <cell r="K117" t="str">
            <v>93-03</v>
          </cell>
          <cell r="L117" t="str">
            <v>94-04</v>
          </cell>
        </row>
        <row r="118">
          <cell r="B118" t="str">
            <v>A11</v>
          </cell>
          <cell r="C118" t="str">
            <v xml:space="preserve"> IX </v>
          </cell>
          <cell r="D118" t="str">
            <v xml:space="preserve"> 992</v>
          </cell>
          <cell r="E118" t="str">
            <v>R11</v>
          </cell>
          <cell r="F118" t="str">
            <v>R11</v>
          </cell>
          <cell r="G118" t="str">
            <v>村山</v>
          </cell>
          <cell r="H118" t="str">
            <v>(ﾓ)ﾌﾟﾚｾｱ</v>
          </cell>
          <cell r="I118" t="str">
            <v>久保川</v>
          </cell>
          <cell r="J118">
            <v>0</v>
          </cell>
          <cell r="K118" t="str">
            <v>93-03</v>
          </cell>
          <cell r="L118" t="str">
            <v>94-12</v>
          </cell>
        </row>
        <row r="119">
          <cell r="B119" t="str">
            <v>A12</v>
          </cell>
          <cell r="C119" t="str">
            <v xml:space="preserve">    </v>
          </cell>
          <cell r="D119" t="str">
            <v xml:space="preserve"> 983</v>
          </cell>
          <cell r="E119" t="str">
            <v>U13</v>
          </cell>
          <cell r="F119" t="str">
            <v>U13</v>
          </cell>
          <cell r="G119" t="str">
            <v>追浜</v>
          </cell>
          <cell r="H119" t="str">
            <v>(ﾏ)ﾌﾞﾙｰﾊﾞｰﾄﾞ</v>
          </cell>
          <cell r="I119" t="str">
            <v>石川</v>
          </cell>
          <cell r="J119">
            <v>0</v>
          </cell>
          <cell r="K119" t="str">
            <v>92-07</v>
          </cell>
          <cell r="L119" t="str">
            <v>93-07</v>
          </cell>
        </row>
        <row r="120">
          <cell r="B120" t="str">
            <v>A13</v>
          </cell>
          <cell r="C120" t="str">
            <v xml:space="preserve">  C </v>
          </cell>
          <cell r="D120" t="str">
            <v xml:space="preserve"> 972</v>
          </cell>
          <cell r="E120" t="str">
            <v>FY32</v>
          </cell>
          <cell r="F120" t="str">
            <v>FY32</v>
          </cell>
          <cell r="G120" t="str">
            <v>栃木</v>
          </cell>
          <cell r="H120" t="str">
            <v>(ﾏ)ｼｰﾏ</v>
          </cell>
          <cell r="I120" t="str">
            <v>山口</v>
          </cell>
          <cell r="J120">
            <v>0</v>
          </cell>
          <cell r="K120" t="str">
            <v>93-02</v>
          </cell>
          <cell r="L120" t="str">
            <v>93-09</v>
          </cell>
        </row>
        <row r="121">
          <cell r="B121" t="str">
            <v>A14</v>
          </cell>
          <cell r="C121" t="str">
            <v xml:space="preserve">  A </v>
          </cell>
          <cell r="D121" t="str">
            <v xml:space="preserve"> 005</v>
          </cell>
          <cell r="E121">
            <v>0</v>
          </cell>
          <cell r="F121">
            <v>0</v>
          </cell>
          <cell r="G121" t="str">
            <v>ｵｰﾃｯｸ</v>
          </cell>
          <cell r="H121" t="str">
            <v>(N)ｳｫｰｸｽﾙｰﾊﾞﾝ</v>
          </cell>
          <cell r="I121" t="str">
            <v>清田</v>
          </cell>
          <cell r="J121">
            <v>0</v>
          </cell>
          <cell r="K121" t="str">
            <v>92-07</v>
          </cell>
          <cell r="L121" t="str">
            <v>92-10</v>
          </cell>
        </row>
        <row r="122">
          <cell r="B122" t="str">
            <v>A15</v>
          </cell>
          <cell r="C122" t="str">
            <v xml:space="preserve">  J </v>
          </cell>
          <cell r="D122" t="str">
            <v xml:space="preserve"> 942</v>
          </cell>
          <cell r="E122" t="str">
            <v>J.PG50</v>
          </cell>
          <cell r="F122" t="str">
            <v>J.PG50</v>
          </cell>
          <cell r="G122" t="str">
            <v>栃木</v>
          </cell>
          <cell r="H122" t="str">
            <v>(ﾏ)ﾌﾟﾚｼﾞﾃﾞﾝﾄ</v>
          </cell>
          <cell r="I122" t="str">
            <v>山口</v>
          </cell>
          <cell r="J122">
            <v>0</v>
          </cell>
          <cell r="K122" t="str">
            <v>92-12</v>
          </cell>
          <cell r="L122" t="str">
            <v>94-04</v>
          </cell>
        </row>
        <row r="123">
          <cell r="B123" t="str">
            <v>A16</v>
          </cell>
          <cell r="C123" t="str">
            <v xml:space="preserve">  A </v>
          </cell>
          <cell r="D123" t="str">
            <v xml:space="preserve"> 590</v>
          </cell>
          <cell r="E123" t="str">
            <v>A590</v>
          </cell>
          <cell r="F123" t="str">
            <v>A590</v>
          </cell>
          <cell r="G123" t="str">
            <v>日デ</v>
          </cell>
          <cell r="H123" t="str">
            <v>( )ﾋﾞｯｸｻﾑ</v>
          </cell>
          <cell r="I123" t="str">
            <v>林</v>
          </cell>
          <cell r="J123" t="str">
            <v>H/L,FC/L,COR/L</v>
          </cell>
          <cell r="K123" t="str">
            <v>94-02</v>
          </cell>
          <cell r="L123" t="str">
            <v>94-12</v>
          </cell>
        </row>
        <row r="124">
          <cell r="B124" t="str">
            <v>A17</v>
          </cell>
          <cell r="C124" t="str">
            <v xml:space="preserve">    </v>
          </cell>
          <cell r="D124" t="str">
            <v xml:space="preserve"> 946</v>
          </cell>
          <cell r="E124" t="str">
            <v>D21</v>
          </cell>
          <cell r="F124" t="str">
            <v>D21</v>
          </cell>
          <cell r="G124" t="str">
            <v>九州</v>
          </cell>
          <cell r="H124" t="str">
            <v>(ﾏ)ﾃﾗﾉ</v>
          </cell>
          <cell r="I124" t="str">
            <v>高木</v>
          </cell>
          <cell r="J124">
            <v>0</v>
          </cell>
          <cell r="K124" t="str">
            <v>92-10</v>
          </cell>
          <cell r="L124" t="str">
            <v>94-11</v>
          </cell>
        </row>
        <row r="125">
          <cell r="B125" t="str">
            <v>A18</v>
          </cell>
          <cell r="C125" t="str">
            <v xml:space="preserve">    </v>
          </cell>
          <cell r="D125" t="str">
            <v xml:space="preserve"> 988</v>
          </cell>
          <cell r="E125" t="str">
            <v>W10</v>
          </cell>
          <cell r="F125" t="str">
            <v>W10</v>
          </cell>
          <cell r="G125" t="str">
            <v>日車</v>
          </cell>
          <cell r="H125" t="str">
            <v>(ﾏ)ｱﾍﾞﾆｰﾙ</v>
          </cell>
          <cell r="I125" t="str">
            <v>中島</v>
          </cell>
          <cell r="J125">
            <v>0</v>
          </cell>
          <cell r="K125" t="str">
            <v>93-08</v>
          </cell>
          <cell r="L125" t="str">
            <v>94-11</v>
          </cell>
        </row>
        <row r="126">
          <cell r="B126" t="str">
            <v>A19</v>
          </cell>
          <cell r="C126" t="str">
            <v xml:space="preserve">    </v>
          </cell>
          <cell r="D126" t="str">
            <v xml:space="preserve"> 960</v>
          </cell>
          <cell r="E126" t="str">
            <v>P10</v>
          </cell>
          <cell r="F126" t="str">
            <v>P10</v>
          </cell>
          <cell r="G126" t="str">
            <v>追浜</v>
          </cell>
          <cell r="H126" t="str">
            <v>(ﾏ)ﾌﾟﾘﾒｰﾗ</v>
          </cell>
          <cell r="I126" t="str">
            <v>石川</v>
          </cell>
          <cell r="J126">
            <v>0</v>
          </cell>
          <cell r="K126" t="str">
            <v>93-03</v>
          </cell>
          <cell r="L126" t="str">
            <v>95-01</v>
          </cell>
        </row>
        <row r="127">
          <cell r="B127" t="str">
            <v>A20</v>
          </cell>
          <cell r="C127" t="str">
            <v xml:space="preserve"> LQ </v>
          </cell>
          <cell r="D127" t="str">
            <v xml:space="preserve"> 018</v>
          </cell>
          <cell r="E127" t="str">
            <v>Y33</v>
          </cell>
          <cell r="F127" t="str">
            <v>Y33</v>
          </cell>
          <cell r="G127" t="str">
            <v>栃木</v>
          </cell>
          <cell r="H127" t="str">
            <v>(ﾓ)ｾﾄﾞﾘｯｸ､ｸﾞﾛﾘｱ</v>
          </cell>
          <cell r="I127" t="str">
            <v>山口</v>
          </cell>
          <cell r="J127">
            <v>0</v>
          </cell>
          <cell r="K127" t="str">
            <v>94-07</v>
          </cell>
          <cell r="L127" t="str">
            <v>95-05</v>
          </cell>
        </row>
        <row r="128">
          <cell r="B128" t="str">
            <v>A21</v>
          </cell>
          <cell r="C128" t="str">
            <v xml:space="preserve"> NY </v>
          </cell>
          <cell r="D128" t="str">
            <v xml:space="preserve"> 006</v>
          </cell>
          <cell r="E128" t="str">
            <v>JY32</v>
          </cell>
          <cell r="F128" t="str">
            <v>JY32</v>
          </cell>
          <cell r="G128" t="str">
            <v>栃木</v>
          </cell>
          <cell r="H128" t="str">
            <v>(ﾏ)ﾚﾊﾟｰﾄﾞ Jﾌｪﾘｰ</v>
          </cell>
          <cell r="I128" t="str">
            <v>山口</v>
          </cell>
          <cell r="J128" t="str">
            <v>H/L(国),R/G(国),FIN(国,北)</v>
          </cell>
          <cell r="K128">
            <v>0</v>
          </cell>
          <cell r="L128" t="str">
            <v>開発中止</v>
          </cell>
        </row>
        <row r="129">
          <cell r="B129" t="str">
            <v>A22</v>
          </cell>
          <cell r="C129" t="str">
            <v xml:space="preserve"> ET </v>
          </cell>
          <cell r="D129" t="str">
            <v xml:space="preserve"> 909</v>
          </cell>
          <cell r="E129" t="str">
            <v>R20</v>
          </cell>
          <cell r="F129" t="str">
            <v>R20</v>
          </cell>
          <cell r="G129" t="str">
            <v>本牧</v>
          </cell>
          <cell r="H129" t="str">
            <v>(N)ﾐｽﾄﾗﾙ</v>
          </cell>
          <cell r="I129" t="str">
            <v>林</v>
          </cell>
          <cell r="J129">
            <v>0</v>
          </cell>
          <cell r="K129" t="str">
            <v>93-04</v>
          </cell>
          <cell r="L129" t="str">
            <v>94-05</v>
          </cell>
        </row>
        <row r="130">
          <cell r="B130" t="str">
            <v>A23</v>
          </cell>
          <cell r="C130" t="str">
            <v xml:space="preserve">    </v>
          </cell>
          <cell r="D130" t="str">
            <v xml:space="preserve"> 966</v>
          </cell>
          <cell r="E130">
            <v>0</v>
          </cell>
          <cell r="F130">
            <v>0</v>
          </cell>
          <cell r="G130" t="str">
            <v>日車</v>
          </cell>
          <cell r="H130" t="str">
            <v>( )ｷｬﾗﾊﾞﾝ(中国向N55改)</v>
          </cell>
          <cell r="I130" t="str">
            <v>中島</v>
          </cell>
          <cell r="J130">
            <v>0</v>
          </cell>
          <cell r="K130" t="str">
            <v>93-08</v>
          </cell>
          <cell r="L130" t="str">
            <v>94-03</v>
          </cell>
        </row>
        <row r="131">
          <cell r="B131" t="str">
            <v>A24</v>
          </cell>
          <cell r="C131" t="str">
            <v xml:space="preserve"> PV </v>
          </cell>
          <cell r="D131" t="str">
            <v xml:space="preserve"> 019</v>
          </cell>
          <cell r="E131" t="str">
            <v>RB14</v>
          </cell>
          <cell r="F131" t="str">
            <v>RB14</v>
          </cell>
          <cell r="G131" t="str">
            <v>高田</v>
          </cell>
          <cell r="H131" t="str">
            <v>(N)ﾗｼｰﾝ</v>
          </cell>
          <cell r="I131" t="str">
            <v>山中</v>
          </cell>
          <cell r="J131" t="str">
            <v>FTR/L,RC/L,B/L,D/M,I/M,W/A</v>
          </cell>
          <cell r="K131" t="str">
            <v>94-02</v>
          </cell>
          <cell r="L131" t="str">
            <v>94-12</v>
          </cell>
        </row>
        <row r="132">
          <cell r="B132" t="str">
            <v>A25</v>
          </cell>
          <cell r="C132" t="str">
            <v xml:space="preserve"> WX </v>
          </cell>
          <cell r="D132" t="str">
            <v xml:space="preserve"> 951</v>
          </cell>
          <cell r="E132" t="str">
            <v>R50</v>
          </cell>
          <cell r="F132" t="str">
            <v>R50</v>
          </cell>
          <cell r="G132" t="str">
            <v>九州</v>
          </cell>
          <cell r="H132" t="str">
            <v>(ﾓ)ﾃﾗﾉ</v>
          </cell>
          <cell r="I132" t="str">
            <v>高木</v>
          </cell>
          <cell r="J132" t="str">
            <v>H/L,SC/L,FTR/L,RC/L</v>
          </cell>
          <cell r="K132" t="str">
            <v>94-11</v>
          </cell>
          <cell r="L132" t="str">
            <v>95-10</v>
          </cell>
        </row>
        <row r="133">
          <cell r="B133" t="str">
            <v>A26</v>
          </cell>
          <cell r="C133" t="str">
            <v xml:space="preserve"> EQ </v>
          </cell>
          <cell r="D133" t="str">
            <v xml:space="preserve"> 008</v>
          </cell>
          <cell r="E133" t="str">
            <v>P11</v>
          </cell>
          <cell r="F133" t="str">
            <v>P11</v>
          </cell>
          <cell r="G133" t="str">
            <v>追浜</v>
          </cell>
          <cell r="H133" t="str">
            <v>(ﾓ)ﾌﾟﾘﾒｰﾗ</v>
          </cell>
          <cell r="I133" t="str">
            <v>石川</v>
          </cell>
          <cell r="J133" t="str">
            <v>F/L,FTR/L,CL/L,F/M,H/L,D/M,I/M</v>
          </cell>
          <cell r="K133" t="str">
            <v>94-09</v>
          </cell>
          <cell r="L133" t="str">
            <v>95-09</v>
          </cell>
        </row>
        <row r="134">
          <cell r="B134" t="str">
            <v>A27</v>
          </cell>
          <cell r="C134" t="str">
            <v xml:space="preserve">    </v>
          </cell>
          <cell r="D134" t="str">
            <v xml:space="preserve"> 017</v>
          </cell>
          <cell r="E134" t="str">
            <v>Y30</v>
          </cell>
          <cell r="F134" t="str">
            <v>Y30</v>
          </cell>
          <cell r="G134" t="str">
            <v>日車</v>
          </cell>
          <cell r="H134" t="str">
            <v>(ﾏ)ｾﾄﾞｸﾞﾛ,ﾜｺﾞﾝ</v>
          </cell>
          <cell r="I134" t="str">
            <v>中島</v>
          </cell>
          <cell r="J134" t="str">
            <v>HMS/L</v>
          </cell>
          <cell r="K134" t="str">
            <v>93-08</v>
          </cell>
          <cell r="L134" t="str">
            <v>94-03</v>
          </cell>
        </row>
        <row r="135">
          <cell r="B135" t="str">
            <v>A28</v>
          </cell>
          <cell r="C135" t="str">
            <v xml:space="preserve">    </v>
          </cell>
          <cell r="D135" t="str">
            <v xml:space="preserve"> 027</v>
          </cell>
          <cell r="E135" t="str">
            <v>Y31</v>
          </cell>
          <cell r="F135" t="str">
            <v>Y31</v>
          </cell>
          <cell r="G135" t="str">
            <v>日車</v>
          </cell>
          <cell r="H135" t="str">
            <v>(ﾏ)ｾﾄﾞｸﾞﾛ,ｾﾀﾞﾝ</v>
          </cell>
          <cell r="I135" t="str">
            <v>中島</v>
          </cell>
          <cell r="J135" t="str">
            <v>H/L,SC/L,FTR/L,R/L,MP/L,RC/L,R/F,D/M,GP/M,A/T,I/M</v>
          </cell>
          <cell r="K135" t="str">
            <v>94-03</v>
          </cell>
          <cell r="L135" t="str">
            <v>94-11</v>
          </cell>
        </row>
        <row r="136">
          <cell r="B136" t="str">
            <v>A29</v>
          </cell>
          <cell r="C136" t="str">
            <v xml:space="preserve">    </v>
          </cell>
          <cell r="D136" t="str">
            <v xml:space="preserve"> 022</v>
          </cell>
          <cell r="E136" t="str">
            <v>Y60</v>
          </cell>
          <cell r="F136" t="str">
            <v>Y60</v>
          </cell>
          <cell r="G136" t="str">
            <v>日車</v>
          </cell>
          <cell r="H136" t="str">
            <v>(ﾏ)ｻﾌｧﾘ</v>
          </cell>
          <cell r="I136" t="str">
            <v>中島</v>
          </cell>
          <cell r="J136" t="str">
            <v>FTR/L,HMS/L</v>
          </cell>
          <cell r="K136" t="str">
            <v>94-04</v>
          </cell>
          <cell r="L136" t="str">
            <v>94-10</v>
          </cell>
        </row>
        <row r="137">
          <cell r="B137" t="str">
            <v>A30</v>
          </cell>
          <cell r="C137" t="str">
            <v xml:space="preserve"> JQ </v>
          </cell>
          <cell r="D137" t="str">
            <v xml:space="preserve"> 020</v>
          </cell>
          <cell r="E137" t="str">
            <v>C34</v>
          </cell>
          <cell r="F137" t="str">
            <v>C34</v>
          </cell>
          <cell r="G137" t="str">
            <v>村山</v>
          </cell>
          <cell r="H137" t="str">
            <v>(ﾏ)ﾛｰﾚﾙ,H/T</v>
          </cell>
          <cell r="I137" t="str">
            <v>久保川</v>
          </cell>
          <cell r="J137" t="str">
            <v>RC/L,R-FIN,D/M,ST/L,R/L,MA/P,L/L,I/M,PFP/L,F/M,GP/M,A/T</v>
          </cell>
          <cell r="K137" t="str">
            <v>94-03</v>
          </cell>
          <cell r="L137" t="str">
            <v>94-09</v>
          </cell>
        </row>
        <row r="138">
          <cell r="B138" t="str">
            <v>A31</v>
          </cell>
          <cell r="C138" t="str">
            <v xml:space="preserve">    </v>
          </cell>
          <cell r="D138" t="str">
            <v xml:space="preserve"> 007</v>
          </cell>
          <cell r="E138" t="str">
            <v>D21</v>
          </cell>
          <cell r="F138" t="str">
            <v>D21</v>
          </cell>
          <cell r="G138" t="str">
            <v>日車</v>
          </cell>
          <cell r="H138" t="str">
            <v>( )ﾀﾞｯﾄﾗ</v>
          </cell>
          <cell r="I138" t="str">
            <v>中島</v>
          </cell>
          <cell r="J138" t="str">
            <v>SC/L</v>
          </cell>
          <cell r="K138">
            <v>0</v>
          </cell>
          <cell r="L138">
            <v>0</v>
          </cell>
        </row>
        <row r="139">
          <cell r="B139" t="str">
            <v>A32</v>
          </cell>
          <cell r="C139" t="str">
            <v xml:space="preserve"> HQ </v>
          </cell>
          <cell r="D139" t="str">
            <v xml:space="preserve"> 030</v>
          </cell>
          <cell r="E139" t="str">
            <v>U14</v>
          </cell>
          <cell r="F139" t="str">
            <v>U14</v>
          </cell>
          <cell r="G139" t="str">
            <v>追浜</v>
          </cell>
          <cell r="H139" t="str">
            <v>(ﾓ)ﾌﾞﾙｰﾊﾞｰﾄﾞ</v>
          </cell>
          <cell r="I139" t="str">
            <v>山中</v>
          </cell>
          <cell r="J139" t="str">
            <v>STR/L,RC/L,HMS/L,MP/L</v>
          </cell>
          <cell r="K139" t="str">
            <v>95-02</v>
          </cell>
          <cell r="L139" t="str">
            <v>95-12</v>
          </cell>
        </row>
        <row r="140">
          <cell r="B140" t="str">
            <v>A33</v>
          </cell>
          <cell r="C140" t="str">
            <v xml:space="preserve"> LK </v>
          </cell>
          <cell r="D140" t="str">
            <v xml:space="preserve"> 051</v>
          </cell>
          <cell r="E140" t="str">
            <v>FY33</v>
          </cell>
          <cell r="F140" t="str">
            <v>FY33</v>
          </cell>
          <cell r="G140" t="str">
            <v>栃木</v>
          </cell>
          <cell r="H140" t="str">
            <v>(ﾓ)ｼｰﾏ</v>
          </cell>
          <cell r="I140" t="str">
            <v>山口</v>
          </cell>
          <cell r="J140" t="str">
            <v>H/L,RC/L,HMS/L,L/L,R/G,D/M,F/M</v>
          </cell>
          <cell r="K140" t="str">
            <v>95-10</v>
          </cell>
          <cell r="L140" t="str">
            <v>96-05</v>
          </cell>
        </row>
        <row r="141">
          <cell r="B141" t="str">
            <v>A34</v>
          </cell>
          <cell r="C141" t="str">
            <v xml:space="preserve"> AQ </v>
          </cell>
          <cell r="D141" t="str">
            <v xml:space="preserve"> 060</v>
          </cell>
          <cell r="E141" t="str">
            <v>WC34</v>
          </cell>
          <cell r="F141" t="str">
            <v>WC34</v>
          </cell>
          <cell r="G141" t="str">
            <v>村山</v>
          </cell>
          <cell r="H141" t="str">
            <v>(N)ｽﾃｰｼﾞｱ</v>
          </cell>
          <cell r="I141" t="str">
            <v>高木</v>
          </cell>
          <cell r="J141" t="str">
            <v>RC/L,D/M</v>
          </cell>
          <cell r="K141" t="str">
            <v>95-11</v>
          </cell>
          <cell r="L141" t="str">
            <v>96-09</v>
          </cell>
        </row>
        <row r="142">
          <cell r="B142" t="str">
            <v>A35</v>
          </cell>
          <cell r="C142" t="str">
            <v xml:space="preserve">    </v>
          </cell>
          <cell r="D142" t="str">
            <v xml:space="preserve"> 024</v>
          </cell>
          <cell r="E142" t="str">
            <v>K11</v>
          </cell>
          <cell r="F142" t="str">
            <v>K11</v>
          </cell>
          <cell r="G142" t="str">
            <v>村山</v>
          </cell>
          <cell r="H142" t="str">
            <v>(ﾏ)ﾏｰﾁ</v>
          </cell>
          <cell r="I142" t="str">
            <v>久保川</v>
          </cell>
          <cell r="J142" t="str">
            <v>F/L</v>
          </cell>
          <cell r="K142" t="str">
            <v>95-02</v>
          </cell>
          <cell r="L142" t="str">
            <v>95-06</v>
          </cell>
        </row>
        <row r="143">
          <cell r="B143" t="str">
            <v>A36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 t="str">
            <v>------- 廃番 -------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 t="str">
            <v>A37</v>
          </cell>
          <cell r="C144" t="str">
            <v xml:space="preserve">    </v>
          </cell>
          <cell r="D144" t="str">
            <v xml:space="preserve"> 009</v>
          </cell>
          <cell r="E144" t="str">
            <v>F23</v>
          </cell>
          <cell r="F144" t="str">
            <v>F23</v>
          </cell>
          <cell r="G144" t="str">
            <v>日デ</v>
          </cell>
          <cell r="H144" t="str">
            <v>(ﾏ)ｱﾄﾗｽ</v>
          </cell>
          <cell r="I144" t="str">
            <v>林</v>
          </cell>
          <cell r="J144" t="str">
            <v>O/M</v>
          </cell>
          <cell r="K144" t="str">
            <v>94-12</v>
          </cell>
          <cell r="L144" t="str">
            <v>95-06</v>
          </cell>
        </row>
        <row r="145">
          <cell r="B145" t="str">
            <v>A38</v>
          </cell>
          <cell r="C145" t="str">
            <v xml:space="preserve"> LJ </v>
          </cell>
          <cell r="D145" t="str">
            <v xml:space="preserve"> 018</v>
          </cell>
          <cell r="E145" t="str">
            <v>JY33</v>
          </cell>
          <cell r="F145" t="str">
            <v>JY33</v>
          </cell>
          <cell r="G145" t="str">
            <v>栃木</v>
          </cell>
          <cell r="H145" t="str">
            <v>(ﾓ)ﾚﾊﾟｰﾄﾞ</v>
          </cell>
          <cell r="I145" t="str">
            <v>山口</v>
          </cell>
          <cell r="J145" t="str">
            <v>H/L,FTR/L,STR/L,HMS/L</v>
          </cell>
          <cell r="K145" t="str">
            <v>95-12</v>
          </cell>
          <cell r="L145" t="str">
            <v>96-02</v>
          </cell>
        </row>
        <row r="146">
          <cell r="B146" t="str">
            <v>A39</v>
          </cell>
          <cell r="C146" t="str">
            <v xml:space="preserve"> LL </v>
          </cell>
          <cell r="D146" t="str">
            <v xml:space="preserve"> 200</v>
          </cell>
          <cell r="E146" t="str">
            <v>E50</v>
          </cell>
          <cell r="F146" t="str">
            <v>E50</v>
          </cell>
          <cell r="G146" t="str">
            <v>日車</v>
          </cell>
          <cell r="H146" t="str">
            <v>(ﾓ)ｴﾙｸﾞﾗﾝﾄﾞ</v>
          </cell>
          <cell r="I146" t="str">
            <v>山口</v>
          </cell>
          <cell r="J146" t="str">
            <v>H/L,SC/L,R/L,PER/L,MD/L,L/L,RC/L,D/M</v>
          </cell>
          <cell r="K146" t="str">
            <v>96-12</v>
          </cell>
          <cell r="L146" t="str">
            <v>97-04</v>
          </cell>
        </row>
        <row r="147">
          <cell r="B147" t="str">
            <v>A40</v>
          </cell>
          <cell r="C147" t="str">
            <v xml:space="preserve">  A </v>
          </cell>
          <cell r="D147" t="str">
            <v xml:space="preserve"> 570</v>
          </cell>
          <cell r="E147" t="str">
            <v>A570</v>
          </cell>
          <cell r="F147" t="str">
            <v>A570</v>
          </cell>
          <cell r="G147" t="str">
            <v>日デ</v>
          </cell>
          <cell r="H147" t="str">
            <v>(ﾏ)大型路線ﾊﾞｽ</v>
          </cell>
          <cell r="I147" t="str">
            <v>林</v>
          </cell>
          <cell r="J147" t="str">
            <v>COR/L</v>
          </cell>
          <cell r="K147">
            <v>0</v>
          </cell>
          <cell r="L147" t="str">
            <v>95-01</v>
          </cell>
        </row>
        <row r="148">
          <cell r="B148" t="str">
            <v>A41</v>
          </cell>
          <cell r="C148" t="str">
            <v xml:space="preserve"> ZQ </v>
          </cell>
          <cell r="D148" t="str">
            <v xml:space="preserve">    </v>
          </cell>
          <cell r="E148">
            <v>0</v>
          </cell>
          <cell r="F148">
            <v>0</v>
          </cell>
          <cell r="G148" t="str">
            <v>NMMC</v>
          </cell>
          <cell r="H148" t="str">
            <v>(ﾓ)ｱﾙﾃｨﾏ(北米ﾌﾞﾙｰﾊﾞｰﾄﾞ)</v>
          </cell>
          <cell r="I148" t="str">
            <v>町田</v>
          </cell>
          <cell r="J148" t="str">
            <v>D/M</v>
          </cell>
          <cell r="K148" t="str">
            <v>97-03</v>
          </cell>
          <cell r="L148" t="str">
            <v>97-05</v>
          </cell>
        </row>
        <row r="149">
          <cell r="B149" t="str">
            <v>A42</v>
          </cell>
          <cell r="C149" t="str">
            <v xml:space="preserve">    </v>
          </cell>
          <cell r="D149" t="str">
            <v xml:space="preserve"> 057</v>
          </cell>
          <cell r="E149" t="str">
            <v>M11</v>
          </cell>
          <cell r="F149" t="str">
            <v>M11</v>
          </cell>
          <cell r="G149" t="str">
            <v>日車</v>
          </cell>
          <cell r="H149" t="str">
            <v>(ﾏ)ﾌﾟﾚｰﾘｰ</v>
          </cell>
          <cell r="I149" t="str">
            <v>中島</v>
          </cell>
          <cell r="J149" t="str">
            <v>SC/L,FC/L</v>
          </cell>
          <cell r="K149" t="str">
            <v>95-02</v>
          </cell>
          <cell r="L149" t="str">
            <v>95-08</v>
          </cell>
        </row>
        <row r="150">
          <cell r="B150" t="str">
            <v>A43</v>
          </cell>
          <cell r="C150" t="str">
            <v xml:space="preserve">    </v>
          </cell>
          <cell r="D150" t="str">
            <v xml:space="preserve"> 048</v>
          </cell>
          <cell r="E150" t="str">
            <v>W10</v>
          </cell>
          <cell r="F150" t="str">
            <v>W10</v>
          </cell>
          <cell r="G150" t="str">
            <v>日車</v>
          </cell>
          <cell r="H150" t="str">
            <v>(ﾏ)ｱﾍﾞﾆｰﾙ</v>
          </cell>
          <cell r="I150" t="str">
            <v>中島</v>
          </cell>
          <cell r="J150" t="str">
            <v>HMS/L,L/L</v>
          </cell>
          <cell r="K150" t="str">
            <v>95-02</v>
          </cell>
          <cell r="L150" t="str">
            <v>95-07</v>
          </cell>
        </row>
        <row r="151">
          <cell r="B151" t="str">
            <v>A44</v>
          </cell>
          <cell r="C151" t="str">
            <v xml:space="preserve">    </v>
          </cell>
          <cell r="D151" t="str">
            <v xml:space="preserve"> 064</v>
          </cell>
          <cell r="E151" t="str">
            <v>R33</v>
          </cell>
          <cell r="F151" t="str">
            <v>R33</v>
          </cell>
          <cell r="G151" t="str">
            <v>村山</v>
          </cell>
          <cell r="H151" t="str">
            <v>(ﾏ)ｽｶｲﾗｲﾝ</v>
          </cell>
          <cell r="I151" t="str">
            <v>久保川</v>
          </cell>
          <cell r="J151" t="str">
            <v>H/L,RC/L</v>
          </cell>
          <cell r="K151" t="str">
            <v>95-03</v>
          </cell>
          <cell r="L151" t="str">
            <v>95-12</v>
          </cell>
        </row>
        <row r="152">
          <cell r="B152" t="str">
            <v>A45</v>
          </cell>
          <cell r="C152" t="str">
            <v xml:space="preserve">    </v>
          </cell>
          <cell r="D152" t="str">
            <v xml:space="preserve"> 038</v>
          </cell>
          <cell r="E152" t="str">
            <v>W30</v>
          </cell>
          <cell r="F152" t="str">
            <v>W30</v>
          </cell>
          <cell r="G152" t="str">
            <v>愛知</v>
          </cell>
          <cell r="H152" t="str">
            <v>(ﾏ)ﾗﾙｺﾞ</v>
          </cell>
          <cell r="I152" t="str">
            <v>山中</v>
          </cell>
          <cell r="J152" t="str">
            <v>HMS/L,RU/M</v>
          </cell>
          <cell r="K152" t="str">
            <v>95-02</v>
          </cell>
          <cell r="L152" t="str">
            <v>95-08</v>
          </cell>
        </row>
        <row r="153">
          <cell r="B153" t="str">
            <v>A46</v>
          </cell>
          <cell r="C153">
            <v>0</v>
          </cell>
          <cell r="D153" t="str">
            <v>A550</v>
          </cell>
          <cell r="E153" t="str">
            <v>A550</v>
          </cell>
          <cell r="F153" t="str">
            <v>A550</v>
          </cell>
          <cell r="G153" t="str">
            <v>日デ</v>
          </cell>
          <cell r="H153" t="str">
            <v>(ﾏ)ｺﾝﾄﾞﾙ</v>
          </cell>
          <cell r="I153" t="str">
            <v>林</v>
          </cell>
          <cell r="J153" t="str">
            <v>RC/L</v>
          </cell>
          <cell r="K153" t="str">
            <v>95-01</v>
          </cell>
          <cell r="L153" t="str">
            <v>95-05</v>
          </cell>
        </row>
        <row r="154">
          <cell r="B154" t="str">
            <v>A47</v>
          </cell>
          <cell r="C154" t="str">
            <v xml:space="preserve">    </v>
          </cell>
          <cell r="D154" t="str">
            <v xml:space="preserve"> 025</v>
          </cell>
          <cell r="E154" t="str">
            <v>E24</v>
          </cell>
          <cell r="F154" t="str">
            <v>E24</v>
          </cell>
          <cell r="G154" t="str">
            <v>日車</v>
          </cell>
          <cell r="H154" t="str">
            <v>(ﾏ)ｷｬﾗﾊﾞﾝ</v>
          </cell>
          <cell r="I154" t="str">
            <v>中島</v>
          </cell>
          <cell r="J154" t="str">
            <v>R/L</v>
          </cell>
          <cell r="K154" t="str">
            <v>95-05</v>
          </cell>
          <cell r="L154" t="str">
            <v>95-07</v>
          </cell>
        </row>
        <row r="155">
          <cell r="B155" t="str">
            <v>A48</v>
          </cell>
          <cell r="C155" t="str">
            <v xml:space="preserve">    </v>
          </cell>
          <cell r="D155" t="str">
            <v xml:space="preserve"> 050</v>
          </cell>
          <cell r="E155" t="str">
            <v>S14</v>
          </cell>
          <cell r="F155" t="str">
            <v>S14</v>
          </cell>
          <cell r="G155" t="str">
            <v>九州</v>
          </cell>
          <cell r="H155" t="str">
            <v>(ﾏ)ｼﾙﾋﾞｱ</v>
          </cell>
          <cell r="I155" t="str">
            <v>高木</v>
          </cell>
          <cell r="J155" t="str">
            <v>H/L,FTR/L,RC/L,B/L,FIN</v>
          </cell>
          <cell r="K155" t="str">
            <v>96-02</v>
          </cell>
          <cell r="L155" t="str">
            <v>96-05</v>
          </cell>
        </row>
        <row r="156">
          <cell r="B156" t="str">
            <v>A49</v>
          </cell>
          <cell r="C156" t="str">
            <v xml:space="preserve"> QW </v>
          </cell>
          <cell r="D156" t="str">
            <v xml:space="preserve"> 070</v>
          </cell>
          <cell r="E156" t="str">
            <v>D22</v>
          </cell>
          <cell r="F156" t="str">
            <v>D22</v>
          </cell>
          <cell r="G156" t="str">
            <v>日車</v>
          </cell>
          <cell r="H156" t="str">
            <v>(ﾓ)ﾀﾞｯﾄﾗ</v>
          </cell>
          <cell r="I156" t="str">
            <v>山口</v>
          </cell>
          <cell r="J156" t="str">
            <v>FC/L,O/M</v>
          </cell>
          <cell r="K156">
            <v>0</v>
          </cell>
          <cell r="L156" t="str">
            <v>96-11</v>
          </cell>
        </row>
        <row r="157">
          <cell r="B157" t="str">
            <v>A50</v>
          </cell>
          <cell r="C157" t="str">
            <v xml:space="preserve">    </v>
          </cell>
          <cell r="D157" t="str">
            <v xml:space="preserve"> 065</v>
          </cell>
          <cell r="E157" t="str">
            <v>B14</v>
          </cell>
          <cell r="F157" t="str">
            <v>B14</v>
          </cell>
          <cell r="G157" t="str">
            <v>九州</v>
          </cell>
          <cell r="H157" t="str">
            <v>(ﾏ)ｻﾆｰ,4ﾄﾞｱ</v>
          </cell>
          <cell r="I157" t="str">
            <v>高木</v>
          </cell>
          <cell r="J157" t="str">
            <v>RC/L,R/F,HMS/L</v>
          </cell>
          <cell r="K157" t="str">
            <v>95-07</v>
          </cell>
          <cell r="L157" t="str">
            <v>95-09</v>
          </cell>
        </row>
        <row r="158">
          <cell r="B158" t="str">
            <v>A51</v>
          </cell>
          <cell r="C158" t="str">
            <v xml:space="preserve"> AA </v>
          </cell>
          <cell r="D158" t="str">
            <v xml:space="preserve">    </v>
          </cell>
          <cell r="E158">
            <v>0</v>
          </cell>
          <cell r="F158">
            <v>0</v>
          </cell>
          <cell r="G158" t="str">
            <v>試作</v>
          </cell>
          <cell r="H158" t="str">
            <v>(N)'95 東京ﾓｰﾀｰｼｮｰ車</v>
          </cell>
          <cell r="I158">
            <v>0</v>
          </cell>
          <cell r="J158" t="str">
            <v>W/A,W/B,D/M,HMS/L</v>
          </cell>
          <cell r="K158">
            <v>0</v>
          </cell>
          <cell r="L158" t="str">
            <v>95-04</v>
          </cell>
        </row>
        <row r="159">
          <cell r="B159" t="str">
            <v>A52</v>
          </cell>
          <cell r="C159" t="str">
            <v xml:space="preserve">    </v>
          </cell>
          <cell r="D159" t="str">
            <v xml:space="preserve"> 097</v>
          </cell>
          <cell r="E159" t="str">
            <v>N15</v>
          </cell>
          <cell r="F159" t="str">
            <v>N15</v>
          </cell>
          <cell r="G159">
            <v>0</v>
          </cell>
          <cell r="H159" t="str">
            <v>(ﾏ)ﾊﾟﾙｻｰ(南ｱ)</v>
          </cell>
          <cell r="I159">
            <v>0</v>
          </cell>
          <cell r="J159" t="str">
            <v>H/L,FTR/L,RC/L,HMS/L</v>
          </cell>
          <cell r="K159" t="str">
            <v>97-02</v>
          </cell>
          <cell r="L159" t="str">
            <v>97-06</v>
          </cell>
        </row>
        <row r="160">
          <cell r="B160" t="str">
            <v>A53</v>
          </cell>
          <cell r="C160" t="str">
            <v xml:space="preserve">    </v>
          </cell>
          <cell r="D160" t="str">
            <v xml:space="preserve"> 080</v>
          </cell>
          <cell r="E160" t="str">
            <v>Y10</v>
          </cell>
          <cell r="F160" t="str">
            <v>Y10</v>
          </cell>
          <cell r="G160" t="str">
            <v>日車</v>
          </cell>
          <cell r="H160" t="str">
            <v>(ﾏ)ｳｲﾝｸﾞﾛｰﾄﾞ</v>
          </cell>
          <cell r="I160" t="str">
            <v>山口</v>
          </cell>
          <cell r="J160" t="str">
            <v>H/L,SC/L,RC/L</v>
          </cell>
          <cell r="K160" t="str">
            <v>96-01</v>
          </cell>
          <cell r="L160" t="str">
            <v>96-05</v>
          </cell>
        </row>
        <row r="161">
          <cell r="B161" t="str">
            <v>A54</v>
          </cell>
          <cell r="C161" t="str">
            <v xml:space="preserve">    </v>
          </cell>
          <cell r="D161" t="str">
            <v xml:space="preserve"> 040</v>
          </cell>
          <cell r="E161" t="str">
            <v>W40</v>
          </cell>
          <cell r="F161" t="str">
            <v>W40</v>
          </cell>
          <cell r="G161" t="str">
            <v>日車</v>
          </cell>
          <cell r="H161" t="str">
            <v>(ﾏ)ｼﾋﾞﾘｱﾝﾊﾞｽ(ｻｳｼﾞ)</v>
          </cell>
          <cell r="I161" t="str">
            <v>山口</v>
          </cell>
          <cell r="J161" t="str">
            <v>O/M</v>
          </cell>
          <cell r="K161" t="str">
            <v>95-06</v>
          </cell>
          <cell r="L161" t="str">
            <v>95-10</v>
          </cell>
        </row>
        <row r="162">
          <cell r="B162" t="str">
            <v>A55</v>
          </cell>
          <cell r="C162" t="str">
            <v xml:space="preserve">    </v>
          </cell>
          <cell r="D162" t="str">
            <v xml:space="preserve"> 075</v>
          </cell>
          <cell r="E162" t="str">
            <v>A32</v>
          </cell>
          <cell r="F162" t="str">
            <v>A32</v>
          </cell>
          <cell r="G162" t="str">
            <v>追浜</v>
          </cell>
          <cell r="H162" t="str">
            <v>(ﾏ)ﾏｷｼﾏ,ｾﾀﾞﾝ(北米)</v>
          </cell>
          <cell r="I162" t="str">
            <v>山中</v>
          </cell>
          <cell r="J162" t="str">
            <v>RC/L(固,可)</v>
          </cell>
          <cell r="K162" t="str">
            <v>96-01</v>
          </cell>
          <cell r="L162" t="str">
            <v>96-07</v>
          </cell>
        </row>
        <row r="163">
          <cell r="B163" t="str">
            <v>A56</v>
          </cell>
          <cell r="C163" t="str">
            <v xml:space="preserve"> JP </v>
          </cell>
          <cell r="D163" t="str">
            <v xml:space="preserve"> 086</v>
          </cell>
          <cell r="E163" t="str">
            <v>C35</v>
          </cell>
          <cell r="F163" t="str">
            <v>C35</v>
          </cell>
          <cell r="G163" t="str">
            <v>村山</v>
          </cell>
          <cell r="H163" t="str">
            <v>(ﾓ)ﾛｰﾚﾙ</v>
          </cell>
          <cell r="I163" t="str">
            <v>高木</v>
          </cell>
          <cell r="J163" t="str">
            <v>H/L,RC/L</v>
          </cell>
          <cell r="K163" t="str">
            <v>97-03</v>
          </cell>
          <cell r="L163" t="str">
            <v>97-05</v>
          </cell>
        </row>
        <row r="164">
          <cell r="B164" t="str">
            <v>A57</v>
          </cell>
          <cell r="C164" t="str">
            <v xml:space="preserve"> GU </v>
          </cell>
          <cell r="D164" t="str">
            <v xml:space="preserve"> 201</v>
          </cell>
          <cell r="E164" t="str">
            <v>Y61</v>
          </cell>
          <cell r="F164" t="str">
            <v>Y61</v>
          </cell>
          <cell r="G164" t="str">
            <v>日車</v>
          </cell>
          <cell r="H164" t="str">
            <v>(ﾓ)ｻﾌｧﾘ</v>
          </cell>
          <cell r="I164" t="str">
            <v>山口</v>
          </cell>
          <cell r="J164" t="str">
            <v>H/L(2点),SC/L,HMS/L,RC/L</v>
          </cell>
          <cell r="K164" t="str">
            <v>97-03</v>
          </cell>
          <cell r="L164" t="str">
            <v>97-10</v>
          </cell>
        </row>
        <row r="165">
          <cell r="B165" t="str">
            <v>A58</v>
          </cell>
          <cell r="C165" t="str">
            <v xml:space="preserve">    </v>
          </cell>
          <cell r="D165" t="str">
            <v xml:space="preserve"> 084</v>
          </cell>
          <cell r="E165" t="str">
            <v>RS13</v>
          </cell>
          <cell r="F165" t="str">
            <v>RS13</v>
          </cell>
          <cell r="G165" t="str">
            <v>日車</v>
          </cell>
          <cell r="H165" t="str">
            <v>(ﾏ)180SX</v>
          </cell>
          <cell r="I165" t="str">
            <v>山口</v>
          </cell>
          <cell r="J165" t="str">
            <v>CL/L，FTR/L</v>
          </cell>
          <cell r="K165" t="str">
            <v>96-05</v>
          </cell>
          <cell r="L165" t="str">
            <v>96-08</v>
          </cell>
        </row>
        <row r="166">
          <cell r="B166" t="str">
            <v>A59</v>
          </cell>
          <cell r="C166" t="str">
            <v xml:space="preserve">    </v>
          </cell>
          <cell r="D166" t="str">
            <v xml:space="preserve"> 076</v>
          </cell>
          <cell r="E166" t="str">
            <v>A32</v>
          </cell>
          <cell r="F166" t="str">
            <v>A32</v>
          </cell>
          <cell r="G166" t="str">
            <v>追浜</v>
          </cell>
          <cell r="H166" t="str">
            <v>(ﾏ)ｾﾌｨｰﾛ</v>
          </cell>
          <cell r="I166" t="str">
            <v>山中</v>
          </cell>
          <cell r="J166" t="str">
            <v>H/L,R/L,MP/L,L/L,RC/L</v>
          </cell>
          <cell r="K166" t="str">
            <v>96-02</v>
          </cell>
          <cell r="L166" t="str">
            <v>96-11</v>
          </cell>
        </row>
        <row r="167">
          <cell r="B167" t="str">
            <v>A60</v>
          </cell>
          <cell r="C167" t="str">
            <v xml:space="preserve">    </v>
          </cell>
          <cell r="D167" t="str">
            <v xml:space="preserve"> 087</v>
          </cell>
          <cell r="E167" t="str">
            <v>R33</v>
          </cell>
          <cell r="F167" t="str">
            <v>R33</v>
          </cell>
          <cell r="G167" t="str">
            <v>村山</v>
          </cell>
          <cell r="H167" t="str">
            <v>(ﾏ)ｽｶｲﾗｲﾝGTR</v>
          </cell>
          <cell r="I167" t="str">
            <v>高木</v>
          </cell>
          <cell r="J167" t="str">
            <v>H/L</v>
          </cell>
          <cell r="K167" t="str">
            <v>96-09</v>
          </cell>
          <cell r="L167" t="str">
            <v>97-01</v>
          </cell>
        </row>
        <row r="168">
          <cell r="B168" t="str">
            <v>A61</v>
          </cell>
          <cell r="C168" t="str">
            <v xml:space="preserve">    </v>
          </cell>
          <cell r="D168" t="str">
            <v xml:space="preserve"> 071</v>
          </cell>
          <cell r="E168" t="str">
            <v>C23</v>
          </cell>
          <cell r="F168" t="str">
            <v>C23</v>
          </cell>
          <cell r="G168" t="str">
            <v>愛知</v>
          </cell>
          <cell r="H168" t="str">
            <v>(ﾏ)ﾊﾞﾈｯﾄｾﾚﾅ</v>
          </cell>
          <cell r="I168" t="str">
            <v>山中</v>
          </cell>
          <cell r="J168" t="str">
            <v>H/L</v>
          </cell>
          <cell r="K168" t="str">
            <v>96-07</v>
          </cell>
          <cell r="L168" t="str">
            <v>96-11</v>
          </cell>
        </row>
        <row r="169">
          <cell r="B169" t="str">
            <v>A62</v>
          </cell>
          <cell r="C169" t="str">
            <v xml:space="preserve">    </v>
          </cell>
          <cell r="D169" t="str">
            <v xml:space="preserve"> 039</v>
          </cell>
          <cell r="E169" t="str">
            <v>W30</v>
          </cell>
          <cell r="F169" t="str">
            <v>W30</v>
          </cell>
          <cell r="G169" t="str">
            <v>愛知</v>
          </cell>
          <cell r="H169" t="str">
            <v>(ﾏ)ﾗﾙｺﾞ</v>
          </cell>
          <cell r="I169" t="str">
            <v>山中</v>
          </cell>
          <cell r="J169" t="str">
            <v>L/L,A/T</v>
          </cell>
          <cell r="K169" t="str">
            <v>96-01</v>
          </cell>
          <cell r="L169" t="str">
            <v>96-04</v>
          </cell>
        </row>
        <row r="170">
          <cell r="B170" t="str">
            <v>A63</v>
          </cell>
          <cell r="C170" t="str">
            <v xml:space="preserve">    </v>
          </cell>
          <cell r="D170" t="str">
            <v xml:space="preserve"> 090</v>
          </cell>
          <cell r="E170" t="str">
            <v>K11</v>
          </cell>
          <cell r="F170" t="str">
            <v>K11</v>
          </cell>
          <cell r="G170" t="str">
            <v>村山</v>
          </cell>
          <cell r="H170" t="str">
            <v>(ﾏ)ﾏｰﾁ</v>
          </cell>
          <cell r="I170" t="str">
            <v>高木</v>
          </cell>
          <cell r="J170" t="str">
            <v>H/L,R/L,L/L,RC/L,F/L</v>
          </cell>
          <cell r="K170" t="str">
            <v>96-11</v>
          </cell>
          <cell r="L170" t="str">
            <v>97-04</v>
          </cell>
        </row>
        <row r="171">
          <cell r="B171" t="str">
            <v>A63a</v>
          </cell>
          <cell r="C171">
            <v>0</v>
          </cell>
          <cell r="D171" t="str">
            <v>090T</v>
          </cell>
          <cell r="E171" t="str">
            <v>FHK11</v>
          </cell>
          <cell r="F171" t="str">
            <v>FHK11</v>
          </cell>
          <cell r="G171" t="str">
            <v>高田</v>
          </cell>
          <cell r="H171" t="str">
            <v>(ﾏ)ﾏｰﾁｶﾌﾞﾘｵﾚ</v>
          </cell>
          <cell r="I171" t="str">
            <v>山中</v>
          </cell>
          <cell r="J171" t="str">
            <v>H/L,R/L,L/L,RC/L,F/L,HMS/L</v>
          </cell>
          <cell r="K171" t="str">
            <v>96-10</v>
          </cell>
          <cell r="L171" t="str">
            <v>97-03</v>
          </cell>
        </row>
        <row r="172">
          <cell r="B172" t="str">
            <v>A64</v>
          </cell>
          <cell r="C172">
            <v>0</v>
          </cell>
          <cell r="D172" t="str">
            <v>A690</v>
          </cell>
          <cell r="E172" t="str">
            <v>A690</v>
          </cell>
          <cell r="F172" t="str">
            <v>A690</v>
          </cell>
          <cell r="G172" t="str">
            <v>日デ</v>
          </cell>
          <cell r="H172" t="str">
            <v>(ﾏ)ﾋﾞｯｸｻﾑ</v>
          </cell>
          <cell r="I172" t="str">
            <v>林</v>
          </cell>
          <cell r="J172" t="str">
            <v>H/L</v>
          </cell>
          <cell r="K172" t="str">
            <v>97-01</v>
          </cell>
          <cell r="L172" t="str">
            <v>97-10</v>
          </cell>
        </row>
        <row r="173">
          <cell r="B173" t="str">
            <v>A65</v>
          </cell>
          <cell r="C173" t="str">
            <v xml:space="preserve">    </v>
          </cell>
          <cell r="D173" t="str">
            <v xml:space="preserve"> 094</v>
          </cell>
          <cell r="E173" t="str">
            <v>E24</v>
          </cell>
          <cell r="F173" t="str">
            <v>E24</v>
          </cell>
          <cell r="G173" t="str">
            <v>日車</v>
          </cell>
          <cell r="H173" t="str">
            <v>(ﾏ)ｷｬﾗﾊﾞﾝ</v>
          </cell>
          <cell r="I173" t="str">
            <v>山口</v>
          </cell>
          <cell r="J173" t="str">
            <v>FTR/L</v>
          </cell>
          <cell r="K173" t="str">
            <v>96-03</v>
          </cell>
          <cell r="L173" t="str">
            <v>96-05</v>
          </cell>
        </row>
        <row r="174">
          <cell r="B174" t="str">
            <v>A66</v>
          </cell>
          <cell r="C174" t="str">
            <v xml:space="preserve">  I </v>
          </cell>
          <cell r="D174" t="str">
            <v xml:space="preserve"> 077</v>
          </cell>
          <cell r="E174" t="str">
            <v>JR50</v>
          </cell>
          <cell r="F174" t="str">
            <v>JR50</v>
          </cell>
          <cell r="G174" t="str">
            <v>九州</v>
          </cell>
          <cell r="H174" t="str">
            <v>(追)ﾃﾗﾉ,ﾚｸﾞﾗｽ</v>
          </cell>
          <cell r="I174" t="str">
            <v>高木</v>
          </cell>
          <cell r="J174" t="str">
            <v>I/M</v>
          </cell>
          <cell r="K174" t="str">
            <v>95-12</v>
          </cell>
          <cell r="L174" t="str">
            <v>96-07</v>
          </cell>
        </row>
        <row r="175">
          <cell r="B175" t="str">
            <v>A67</v>
          </cell>
          <cell r="C175" t="str">
            <v xml:space="preserve">    </v>
          </cell>
          <cell r="D175" t="str">
            <v xml:space="preserve"> 100</v>
          </cell>
          <cell r="E175" t="str">
            <v>R11</v>
          </cell>
          <cell r="F175" t="str">
            <v>R11</v>
          </cell>
          <cell r="G175" t="str">
            <v>村山</v>
          </cell>
          <cell r="H175" t="str">
            <v>(ﾏ)ﾌﾟﾚｾｱ</v>
          </cell>
          <cell r="I175" t="str">
            <v>高木</v>
          </cell>
          <cell r="J175" t="str">
            <v>H/L,R/L,L/L,RC/L,CORN/L,F/L</v>
          </cell>
          <cell r="K175" t="str">
            <v>96-08</v>
          </cell>
          <cell r="L175" t="str">
            <v>97-06</v>
          </cell>
        </row>
        <row r="176">
          <cell r="B176" t="str">
            <v>A68</v>
          </cell>
          <cell r="C176" t="str">
            <v xml:space="preserve">    </v>
          </cell>
          <cell r="D176" t="str">
            <v xml:space="preserve"> 104</v>
          </cell>
          <cell r="E176" t="str">
            <v>RB14</v>
          </cell>
          <cell r="F176" t="str">
            <v>RB14</v>
          </cell>
          <cell r="G176" t="str">
            <v>高田</v>
          </cell>
          <cell r="H176" t="str">
            <v>(ﾏ)ﾗｼｰﾝ</v>
          </cell>
          <cell r="I176" t="str">
            <v>山中</v>
          </cell>
          <cell r="J176" t="str">
            <v>D/M</v>
          </cell>
          <cell r="K176" t="str">
            <v>96-09</v>
          </cell>
          <cell r="L176" t="str">
            <v>96-12</v>
          </cell>
        </row>
        <row r="177">
          <cell r="B177" t="str">
            <v>A69</v>
          </cell>
          <cell r="C177" t="str">
            <v xml:space="preserve">    </v>
          </cell>
          <cell r="D177" t="str">
            <v xml:space="preserve"> 105</v>
          </cell>
          <cell r="E177" t="str">
            <v>Y33</v>
          </cell>
          <cell r="F177" t="str">
            <v>Y33</v>
          </cell>
          <cell r="G177" t="str">
            <v>栃木</v>
          </cell>
          <cell r="H177" t="str">
            <v>(ﾏ)ｾﾄﾞﾘｯｸ,ｸﾞﾛﾘｱ</v>
          </cell>
          <cell r="I177" t="str">
            <v>山口</v>
          </cell>
          <cell r="J177" t="str">
            <v>H/L(3点),RC/L,B/L･FIN,F/L,CONR/L</v>
          </cell>
          <cell r="K177" t="str">
            <v>97-01</v>
          </cell>
          <cell r="L177" t="str">
            <v>97-05</v>
          </cell>
        </row>
        <row r="178">
          <cell r="B178" t="str">
            <v>WA70</v>
          </cell>
          <cell r="C178" t="str">
            <v xml:space="preserve">WPQ </v>
          </cell>
          <cell r="D178" t="str">
            <v xml:space="preserve"> 108</v>
          </cell>
          <cell r="E178" t="str">
            <v>WA32</v>
          </cell>
          <cell r="F178" t="str">
            <v>WA32</v>
          </cell>
          <cell r="G178" t="str">
            <v>追浜</v>
          </cell>
          <cell r="H178" t="str">
            <v>(N)ｾﾌｨｰﾛ,ﾜｺﾞﾝ</v>
          </cell>
          <cell r="I178" t="str">
            <v>山中</v>
          </cell>
          <cell r="J178" t="str">
            <v>B/L,RC/L</v>
          </cell>
          <cell r="K178" t="str">
            <v>97-01</v>
          </cell>
          <cell r="L178" t="str">
            <v>97-04</v>
          </cell>
        </row>
        <row r="179">
          <cell r="B179" t="str">
            <v>WA71</v>
          </cell>
          <cell r="C179" t="str">
            <v xml:space="preserve">WEQ </v>
          </cell>
          <cell r="D179" t="str">
            <v xml:space="preserve"> 098</v>
          </cell>
          <cell r="E179" t="str">
            <v>WP11</v>
          </cell>
          <cell r="F179" t="str">
            <v>WP11</v>
          </cell>
          <cell r="G179" t="str">
            <v>追浜</v>
          </cell>
          <cell r="H179" t="str">
            <v>(N)ﾌﾟﾘﾒｰﾗ,ﾜｺﾞﾝ</v>
          </cell>
          <cell r="I179" t="str">
            <v>山中</v>
          </cell>
          <cell r="J179" t="str">
            <v>RC/L,HMS/L</v>
          </cell>
          <cell r="K179" t="str">
            <v>97-03</v>
          </cell>
          <cell r="L179" t="str">
            <v>97-07</v>
          </cell>
        </row>
        <row r="180">
          <cell r="B180" t="str">
            <v>WA72</v>
          </cell>
          <cell r="C180" t="str">
            <v xml:space="preserve"> NW </v>
          </cell>
          <cell r="D180" t="str">
            <v xml:space="preserve"> 102</v>
          </cell>
          <cell r="E180" t="str">
            <v>N30</v>
          </cell>
          <cell r="F180" t="str">
            <v>N30</v>
          </cell>
          <cell r="G180" t="str">
            <v>栃木</v>
          </cell>
          <cell r="H180" t="str">
            <v>(N)ﾙﾈｯｻ</v>
          </cell>
          <cell r="I180" t="str">
            <v>八木</v>
          </cell>
          <cell r="J180" t="str">
            <v>H/L,FTR/L,ST/L,R/L,MP/L,L/L,RC/L,F/L,HMS/L</v>
          </cell>
          <cell r="K180" t="str">
            <v>97-07</v>
          </cell>
          <cell r="L180" t="str">
            <v>97-10</v>
          </cell>
        </row>
        <row r="181">
          <cell r="B181" t="str">
            <v>A73</v>
          </cell>
          <cell r="C181" t="str">
            <v xml:space="preserve"> HF </v>
          </cell>
          <cell r="D181" t="str">
            <v xml:space="preserve">    </v>
          </cell>
          <cell r="E181">
            <v>0</v>
          </cell>
          <cell r="F181">
            <v>0</v>
          </cell>
          <cell r="G181" t="str">
            <v>NMMC</v>
          </cell>
          <cell r="H181" t="str">
            <v>(ﾏ)ｾﾝﾄﾗ200SX</v>
          </cell>
          <cell r="I181" t="str">
            <v>町田</v>
          </cell>
          <cell r="J181">
            <v>0</v>
          </cell>
          <cell r="K181">
            <v>0</v>
          </cell>
          <cell r="L181" t="str">
            <v>97-08</v>
          </cell>
        </row>
        <row r="182">
          <cell r="B182" t="str">
            <v>A74</v>
          </cell>
          <cell r="C182" t="str">
            <v xml:space="preserve">  A </v>
          </cell>
          <cell r="D182" t="str">
            <v xml:space="preserve"> 650</v>
          </cell>
          <cell r="E182" t="str">
            <v>A650</v>
          </cell>
          <cell r="F182" t="str">
            <v>A650</v>
          </cell>
          <cell r="G182" t="str">
            <v>日デ</v>
          </cell>
          <cell r="H182" t="str">
            <v>(ﾏ)ｺﾝﾄﾞﾙ</v>
          </cell>
          <cell r="I182" t="str">
            <v>林</v>
          </cell>
          <cell r="J182" t="str">
            <v>RU/M</v>
          </cell>
          <cell r="K182" t="str">
            <v>96-09</v>
          </cell>
          <cell r="L182" t="str">
            <v>97-07</v>
          </cell>
        </row>
        <row r="183">
          <cell r="B183" t="str">
            <v>A75</v>
          </cell>
          <cell r="C183" t="str">
            <v xml:space="preserve"> RF </v>
          </cell>
          <cell r="D183" t="str">
            <v xml:space="preserve">    </v>
          </cell>
          <cell r="E183" t="str">
            <v>N15</v>
          </cell>
          <cell r="F183" t="str">
            <v>N15</v>
          </cell>
          <cell r="G183" t="str">
            <v>九州</v>
          </cell>
          <cell r="H183" t="str">
            <v>(ﾏ)ﾊﾟﾙｻｰ,ｾﾀﾞﾝH/B</v>
          </cell>
          <cell r="I183" t="str">
            <v>高木</v>
          </cell>
          <cell r="J183" t="str">
            <v>RC/L(可),(固)</v>
          </cell>
          <cell r="K183">
            <v>0</v>
          </cell>
          <cell r="L183" t="str">
            <v>97-06</v>
          </cell>
        </row>
        <row r="184">
          <cell r="B184" t="str">
            <v>A76</v>
          </cell>
          <cell r="C184" t="str">
            <v xml:space="preserve">    </v>
          </cell>
          <cell r="D184" t="str">
            <v xml:space="preserve"> 063</v>
          </cell>
          <cell r="E184" t="str">
            <v>B14</v>
          </cell>
          <cell r="F184" t="str">
            <v>B14</v>
          </cell>
          <cell r="G184" t="str">
            <v>ｵｰﾃｯｸ</v>
          </cell>
          <cell r="H184" t="str">
            <v>(ﾏ)ｻﾆｰ ｵｰﾃｯｸﾊﾞｰｼﾞｮﾝ</v>
          </cell>
          <cell r="I184" t="str">
            <v>林</v>
          </cell>
          <cell r="J184" t="str">
            <v>FC/L</v>
          </cell>
          <cell r="K184">
            <v>0</v>
          </cell>
          <cell r="L184" t="str">
            <v>96-01</v>
          </cell>
        </row>
        <row r="185">
          <cell r="B185" t="str">
            <v>A77</v>
          </cell>
          <cell r="C185" t="str">
            <v xml:space="preserve">    </v>
          </cell>
          <cell r="D185" t="str">
            <v xml:space="preserve"> 990</v>
          </cell>
          <cell r="E185" t="str">
            <v>N15</v>
          </cell>
          <cell r="F185" t="str">
            <v>N15</v>
          </cell>
          <cell r="G185" t="str">
            <v>ｵｰﾃｯｸ</v>
          </cell>
          <cell r="H185" t="str">
            <v>(ﾏ)ﾊﾟﾙｻｰ ｵｰﾃｯｸﾊﾞｰｼﾞｮﾝ</v>
          </cell>
          <cell r="I185" t="str">
            <v>林</v>
          </cell>
          <cell r="J185" t="str">
            <v>FC/L</v>
          </cell>
          <cell r="K185">
            <v>0</v>
          </cell>
          <cell r="L185" t="str">
            <v>96-01</v>
          </cell>
        </row>
        <row r="186">
          <cell r="B186" t="str">
            <v>A78</v>
          </cell>
          <cell r="C186" t="str">
            <v xml:space="preserve">    </v>
          </cell>
          <cell r="D186" t="str">
            <v xml:space="preserve"> 206</v>
          </cell>
          <cell r="E186" t="str">
            <v>M11</v>
          </cell>
          <cell r="F186" t="str">
            <v>M11</v>
          </cell>
          <cell r="G186" t="str">
            <v>日車</v>
          </cell>
          <cell r="H186" t="str">
            <v>(ﾏ)ﾌﾟﾚｰﾘｰ</v>
          </cell>
          <cell r="I186" t="str">
            <v>山口</v>
          </cell>
          <cell r="J186" t="str">
            <v>L/L,HMS/L,R･U/M,</v>
          </cell>
          <cell r="K186" t="str">
            <v>96-09</v>
          </cell>
          <cell r="L186" t="str">
            <v>97-04</v>
          </cell>
        </row>
        <row r="187">
          <cell r="B187" t="str">
            <v>A79</v>
          </cell>
          <cell r="C187" t="str">
            <v xml:space="preserve"> NB </v>
          </cell>
          <cell r="D187" t="str">
            <v xml:space="preserve"> 109</v>
          </cell>
          <cell r="E187" t="str">
            <v>Z10</v>
          </cell>
          <cell r="F187" t="str">
            <v>Z10</v>
          </cell>
          <cell r="G187" t="str">
            <v>村山</v>
          </cell>
          <cell r="H187" t="str">
            <v>(N)ｷｭｰﾌﾞ</v>
          </cell>
          <cell r="I187" t="str">
            <v>高木</v>
          </cell>
          <cell r="J187">
            <v>0</v>
          </cell>
          <cell r="K187" t="str">
            <v>97-05</v>
          </cell>
          <cell r="L187" t="str">
            <v>97-12</v>
          </cell>
        </row>
        <row r="188">
          <cell r="B188" t="str">
            <v>A80</v>
          </cell>
          <cell r="C188" t="str">
            <v xml:space="preserve"> HF </v>
          </cell>
          <cell r="D188" t="str">
            <v xml:space="preserve"> 110</v>
          </cell>
          <cell r="E188" t="str">
            <v>B14</v>
          </cell>
          <cell r="F188" t="str">
            <v>B14</v>
          </cell>
          <cell r="G188" t="str">
            <v>九州</v>
          </cell>
          <cell r="H188" t="str">
            <v>(ﾏ)ｻﾆｰ,ｾﾀﾞﾝ</v>
          </cell>
          <cell r="I188" t="str">
            <v>高木</v>
          </cell>
          <cell r="J188" t="str">
            <v>RC/L</v>
          </cell>
          <cell r="K188" t="str">
            <v>96-11</v>
          </cell>
          <cell r="L188" t="str">
            <v>97-04</v>
          </cell>
        </row>
        <row r="189">
          <cell r="B189" t="str">
            <v>A81</v>
          </cell>
          <cell r="C189" t="str">
            <v xml:space="preserve">    </v>
          </cell>
          <cell r="D189" t="str">
            <v xml:space="preserve"> 207</v>
          </cell>
          <cell r="E189" t="str">
            <v>VY30</v>
          </cell>
          <cell r="F189" t="str">
            <v>VY30</v>
          </cell>
          <cell r="G189" t="str">
            <v>日車</v>
          </cell>
          <cell r="H189" t="str">
            <v>(ﾏ)ｾﾄﾞﾘｯｸ,ｸﾞﾛﾘｱ,ﾊﾞﾝ</v>
          </cell>
          <cell r="I189" t="str">
            <v>山口</v>
          </cell>
          <cell r="J189" t="str">
            <v>H/L</v>
          </cell>
          <cell r="K189" t="str">
            <v>96-08</v>
          </cell>
          <cell r="L189" t="str">
            <v>97-04</v>
          </cell>
        </row>
        <row r="190">
          <cell r="B190" t="str">
            <v>A82</v>
          </cell>
          <cell r="C190" t="str">
            <v xml:space="preserve">    </v>
          </cell>
          <cell r="D190" t="str">
            <v xml:space="preserve"> 098</v>
          </cell>
          <cell r="E190" t="str">
            <v>P11</v>
          </cell>
          <cell r="F190" t="str">
            <v>P11</v>
          </cell>
          <cell r="G190" t="str">
            <v>追浜</v>
          </cell>
          <cell r="H190" t="str">
            <v>(ﾏ)ﾌﾟﾘﾒｰﾗ</v>
          </cell>
          <cell r="I190" t="str">
            <v>山中</v>
          </cell>
          <cell r="J190" t="str">
            <v>H/L</v>
          </cell>
          <cell r="K190" t="str">
            <v>95-12</v>
          </cell>
          <cell r="L190" t="str">
            <v>97-07</v>
          </cell>
        </row>
        <row r="191">
          <cell r="B191" t="str">
            <v>A83</v>
          </cell>
          <cell r="C191" t="str">
            <v xml:space="preserve">    </v>
          </cell>
          <cell r="D191" t="str">
            <v xml:space="preserve"> 107</v>
          </cell>
          <cell r="E191" t="str">
            <v>R34</v>
          </cell>
          <cell r="F191" t="str">
            <v>R34</v>
          </cell>
          <cell r="G191" t="str">
            <v>村山</v>
          </cell>
          <cell r="H191" t="str">
            <v>(ﾓ)ｽｶｲﾗｲﾝ</v>
          </cell>
          <cell r="I191" t="str">
            <v>高木</v>
          </cell>
          <cell r="J191" t="str">
            <v>H/L,STP/L,R/L,MP/L,L/L,RC/L,HMS/L,R/F,TKR/L</v>
          </cell>
          <cell r="K191" t="str">
            <v>97-11</v>
          </cell>
          <cell r="L191" t="str">
            <v>98-05</v>
          </cell>
        </row>
        <row r="192">
          <cell r="B192" t="str">
            <v>A84</v>
          </cell>
          <cell r="C192" t="str">
            <v xml:space="preserve"> IP </v>
          </cell>
          <cell r="D192" t="str">
            <v xml:space="preserve"> 128</v>
          </cell>
          <cell r="E192" t="str">
            <v>U30</v>
          </cell>
          <cell r="F192" t="str">
            <v>U30</v>
          </cell>
          <cell r="G192" t="str">
            <v>栃木</v>
          </cell>
          <cell r="H192" t="str">
            <v>(ﾓ)ﾌﾟﾚｻｰｼﾞｭ</v>
          </cell>
          <cell r="I192" t="str">
            <v>八木</v>
          </cell>
          <cell r="J192" t="str">
            <v>H/L,FC/L,R/L,D/M</v>
          </cell>
          <cell r="K192" t="str">
            <v>97-12</v>
          </cell>
          <cell r="L192" t="str">
            <v>98-05</v>
          </cell>
        </row>
        <row r="193">
          <cell r="B193" t="str">
            <v>A85</v>
          </cell>
          <cell r="C193" t="str">
            <v xml:space="preserve"> ZE </v>
          </cell>
          <cell r="D193" t="str">
            <v xml:space="preserve"> 129</v>
          </cell>
          <cell r="E193">
            <v>0</v>
          </cell>
          <cell r="F193">
            <v>0</v>
          </cell>
          <cell r="G193" t="str">
            <v>NTC栃木</v>
          </cell>
          <cell r="H193" t="str">
            <v>(N)ﾙﾈｯｻEV(電気自動車)</v>
          </cell>
          <cell r="I193" t="str">
            <v>八木</v>
          </cell>
          <cell r="J193" t="str">
            <v>H/L,FC/L,RC/L</v>
          </cell>
          <cell r="K193" t="str">
            <v>97-04</v>
          </cell>
          <cell r="L193" t="str">
            <v>97-12</v>
          </cell>
        </row>
        <row r="194">
          <cell r="B194" t="str">
            <v>A86</v>
          </cell>
          <cell r="C194" t="str">
            <v xml:space="preserve">    </v>
          </cell>
          <cell r="D194" t="str">
            <v xml:space="preserve"> 204</v>
          </cell>
          <cell r="E194" t="str">
            <v>E24</v>
          </cell>
          <cell r="F194" t="str">
            <v>E24</v>
          </cell>
          <cell r="G194" t="str">
            <v>日車</v>
          </cell>
          <cell r="H194" t="str">
            <v>(ﾏ)ｷｬﾗﾊﾞﾝ</v>
          </cell>
          <cell r="I194" t="str">
            <v>山口</v>
          </cell>
          <cell r="J194" t="str">
            <v>H/L</v>
          </cell>
          <cell r="K194" t="str">
            <v>96-11</v>
          </cell>
          <cell r="L194" t="str">
            <v>97-05</v>
          </cell>
        </row>
        <row r="195">
          <cell r="B195" t="str">
            <v>A87</v>
          </cell>
          <cell r="C195" t="str">
            <v xml:space="preserve"> HS </v>
          </cell>
          <cell r="D195" t="str">
            <v xml:space="preserve"> 124</v>
          </cell>
          <cell r="E195" t="str">
            <v>B15</v>
          </cell>
          <cell r="F195" t="str">
            <v>B15</v>
          </cell>
          <cell r="G195" t="str">
            <v>九州</v>
          </cell>
          <cell r="H195" t="str">
            <v>(ﾓ)ｻﾆｰ,ﾊﾟﾙｻｰ統合車</v>
          </cell>
          <cell r="I195" t="str">
            <v>山中</v>
          </cell>
          <cell r="J195" t="str">
            <v>H/L,FTR/L,RC/L</v>
          </cell>
          <cell r="K195" t="str">
            <v>98-03</v>
          </cell>
          <cell r="L195" t="str">
            <v>98-09</v>
          </cell>
        </row>
        <row r="196">
          <cell r="B196" t="str">
            <v>A88</v>
          </cell>
          <cell r="C196" t="str">
            <v xml:space="preserve">    </v>
          </cell>
          <cell r="D196" t="str">
            <v xml:space="preserve"> 858</v>
          </cell>
          <cell r="E196" t="str">
            <v>C22</v>
          </cell>
          <cell r="F196" t="str">
            <v>C22</v>
          </cell>
          <cell r="G196" t="str">
            <v>愛知</v>
          </cell>
          <cell r="H196" t="str">
            <v>(ﾏ)ﾊﾞﾈｯﾄ(ﾏﾚｰｼｱ向)</v>
          </cell>
          <cell r="I196" t="str">
            <v>篠木</v>
          </cell>
          <cell r="J196" t="str">
            <v>H/L</v>
          </cell>
          <cell r="K196" t="str">
            <v>97-04</v>
          </cell>
          <cell r="L196" t="str">
            <v>97-07</v>
          </cell>
        </row>
        <row r="197">
          <cell r="B197" t="str">
            <v>A89</v>
          </cell>
          <cell r="C197" t="str">
            <v xml:space="preserve">    </v>
          </cell>
          <cell r="D197" t="str">
            <v xml:space="preserve"> 099</v>
          </cell>
          <cell r="E197" t="str">
            <v>U14</v>
          </cell>
          <cell r="F197" t="str">
            <v>U14</v>
          </cell>
          <cell r="G197" t="str">
            <v>追浜</v>
          </cell>
          <cell r="H197" t="str">
            <v>(ﾏ)ﾌﾞﾙｰﾊﾞｰﾄﾞ</v>
          </cell>
          <cell r="I197" t="str">
            <v>山中</v>
          </cell>
          <cell r="J197" t="str">
            <v>RC/L,F/L</v>
          </cell>
          <cell r="K197" t="str">
            <v>96-12</v>
          </cell>
          <cell r="L197" t="str">
            <v>97-06</v>
          </cell>
        </row>
        <row r="198">
          <cell r="B198" t="str">
            <v>A90</v>
          </cell>
          <cell r="C198" t="str">
            <v xml:space="preserve">    </v>
          </cell>
          <cell r="D198" t="str">
            <v xml:space="preserve"> 095</v>
          </cell>
          <cell r="E198" t="str">
            <v>A37</v>
          </cell>
          <cell r="F198" t="str">
            <v>A37</v>
          </cell>
          <cell r="G198" t="str">
            <v>日デ</v>
          </cell>
          <cell r="H198" t="str">
            <v>(ﾏ)ｱﾄﾗｽ 小型ﾄﾗｯｸ</v>
          </cell>
          <cell r="I198" t="str">
            <v>林</v>
          </cell>
          <cell r="J198" t="str">
            <v>STAY(電動)</v>
          </cell>
          <cell r="K198" t="str">
            <v>96-11</v>
          </cell>
          <cell r="L198" t="str">
            <v>97-07</v>
          </cell>
        </row>
        <row r="199">
          <cell r="B199" t="str">
            <v>A91</v>
          </cell>
          <cell r="C199" t="str">
            <v xml:space="preserve"> WJ </v>
          </cell>
          <cell r="D199" t="str">
            <v xml:space="preserve"> 211</v>
          </cell>
          <cell r="E199" t="str">
            <v>W11</v>
          </cell>
          <cell r="F199" t="str">
            <v>W11</v>
          </cell>
          <cell r="G199" t="str">
            <v>日車</v>
          </cell>
          <cell r="H199" t="str">
            <v>(ﾓ)ｱﾍﾞﾆｰﾙ</v>
          </cell>
          <cell r="I199" t="str">
            <v>篠木</v>
          </cell>
          <cell r="J199" t="str">
            <v>H/L,F/L</v>
          </cell>
          <cell r="K199" t="str">
            <v>97-05</v>
          </cell>
          <cell r="L199" t="str">
            <v>98-03</v>
          </cell>
        </row>
        <row r="200">
          <cell r="B200" t="str">
            <v>A92</v>
          </cell>
          <cell r="C200" t="str">
            <v xml:space="preserve">    </v>
          </cell>
          <cell r="D200" t="str">
            <v xml:space="preserve"> 116</v>
          </cell>
          <cell r="E200" t="str">
            <v>FY33</v>
          </cell>
          <cell r="F200" t="str">
            <v>FY33</v>
          </cell>
          <cell r="G200" t="str">
            <v>栃木</v>
          </cell>
          <cell r="H200" t="str">
            <v>(ﾏ)ｼｰﾏ,ｲﾝﾌｨﾆﾃｨ</v>
          </cell>
          <cell r="I200" t="str">
            <v>八木</v>
          </cell>
          <cell r="J200" t="str">
            <v>H/L(HID)</v>
          </cell>
          <cell r="K200" t="str">
            <v>97-02</v>
          </cell>
          <cell r="L200" t="str">
            <v>97-08</v>
          </cell>
        </row>
        <row r="201">
          <cell r="B201" t="str">
            <v>A93</v>
          </cell>
          <cell r="C201" t="str">
            <v xml:space="preserve">    </v>
          </cell>
          <cell r="D201" t="str">
            <v xml:space="preserve"> 082</v>
          </cell>
          <cell r="E201" t="str">
            <v>C23</v>
          </cell>
          <cell r="F201" t="str">
            <v>C23</v>
          </cell>
          <cell r="G201" t="str">
            <v>愛知</v>
          </cell>
          <cell r="H201" t="str">
            <v>(ﾏ)ﾊﾞﾈｯﾄｾﾚﾅ</v>
          </cell>
          <cell r="I201" t="str">
            <v>篠木</v>
          </cell>
          <cell r="J201" t="str">
            <v>H/L</v>
          </cell>
          <cell r="K201" t="str">
            <v>97-05</v>
          </cell>
          <cell r="L201" t="str">
            <v>97-12</v>
          </cell>
        </row>
        <row r="202">
          <cell r="B202" t="str">
            <v>A94</v>
          </cell>
          <cell r="C202" t="str">
            <v xml:space="preserve"> SD </v>
          </cell>
          <cell r="D202" t="str">
            <v xml:space="preserve">    </v>
          </cell>
          <cell r="E202" t="str">
            <v>A33</v>
          </cell>
          <cell r="F202" t="str">
            <v>A33</v>
          </cell>
          <cell r="G202" t="str">
            <v>追浜</v>
          </cell>
          <cell r="H202" t="str">
            <v>(ﾓ)ｾﾌｨｰﾛ</v>
          </cell>
          <cell r="I202" t="str">
            <v>高木</v>
          </cell>
          <cell r="J202" t="str">
            <v>H/L,RC/L</v>
          </cell>
          <cell r="K202">
            <v>0</v>
          </cell>
          <cell r="L202" t="str">
            <v>98-12</v>
          </cell>
        </row>
        <row r="203">
          <cell r="B203" t="str">
            <v>A95</v>
          </cell>
          <cell r="C203" t="str">
            <v xml:space="preserve">    </v>
          </cell>
          <cell r="D203" t="str">
            <v xml:space="preserve"> 112</v>
          </cell>
          <cell r="E203" t="str">
            <v>WC34</v>
          </cell>
          <cell r="F203" t="str">
            <v>WC34</v>
          </cell>
          <cell r="G203" t="str">
            <v>村山</v>
          </cell>
          <cell r="H203" t="str">
            <v>(追)ｽﾃｰｼﾞｱ</v>
          </cell>
          <cell r="I203" t="str">
            <v>高木</v>
          </cell>
          <cell r="J203" t="str">
            <v>RC/L(可)</v>
          </cell>
          <cell r="K203" t="str">
            <v>97-02</v>
          </cell>
          <cell r="L203" t="str">
            <v>97-08</v>
          </cell>
        </row>
        <row r="204">
          <cell r="B204" t="str">
            <v>A96</v>
          </cell>
          <cell r="C204" t="str">
            <v xml:space="preserve">IEQ </v>
          </cell>
          <cell r="D204" t="str">
            <v xml:space="preserve"> 119</v>
          </cell>
          <cell r="E204" t="str">
            <v>WP11</v>
          </cell>
          <cell r="F204" t="str">
            <v>WP11</v>
          </cell>
          <cell r="G204" t="str">
            <v>追浜</v>
          </cell>
          <cell r="H204" t="str">
            <v>(追)ﾌﾟﾘﾒｰﾗ　北米</v>
          </cell>
          <cell r="I204" t="str">
            <v>高木</v>
          </cell>
          <cell r="J204" t="str">
            <v>D/M</v>
          </cell>
          <cell r="K204" t="str">
            <v>97-12</v>
          </cell>
          <cell r="L204" t="str">
            <v>98-05</v>
          </cell>
        </row>
        <row r="205">
          <cell r="B205" t="str">
            <v>A96</v>
          </cell>
          <cell r="C205" t="str">
            <v xml:space="preserve">IEQ </v>
          </cell>
          <cell r="D205" t="str">
            <v>W119</v>
          </cell>
          <cell r="E205" t="str">
            <v>P11</v>
          </cell>
          <cell r="F205" t="str">
            <v>P11</v>
          </cell>
          <cell r="G205" t="str">
            <v>追浜</v>
          </cell>
          <cell r="H205" t="str">
            <v>(ﾏ)ﾌﾟﾘﾒｰﾗﾜｺﾞﾝ</v>
          </cell>
          <cell r="I205" t="str">
            <v>高木</v>
          </cell>
          <cell r="J205" t="str">
            <v>RC/L</v>
          </cell>
          <cell r="K205" t="str">
            <v>97-12</v>
          </cell>
          <cell r="L205" t="str">
            <v>98-06</v>
          </cell>
        </row>
        <row r="206">
          <cell r="B206" t="str">
            <v>A97</v>
          </cell>
          <cell r="C206" t="str">
            <v xml:space="preserve">    </v>
          </cell>
          <cell r="D206" t="str">
            <v xml:space="preserve"> 138</v>
          </cell>
          <cell r="E206" t="str">
            <v>RB14</v>
          </cell>
          <cell r="F206" t="str">
            <v>RB14</v>
          </cell>
          <cell r="G206" t="str">
            <v>高田</v>
          </cell>
          <cell r="H206" t="str">
            <v>(ﾏ)ﾗｼｰﾝ</v>
          </cell>
          <cell r="I206" t="str">
            <v>篠木</v>
          </cell>
          <cell r="J206" t="str">
            <v>H/L,HMS/L</v>
          </cell>
          <cell r="K206" t="str">
            <v>97-07</v>
          </cell>
          <cell r="L206" t="str">
            <v>98-01</v>
          </cell>
        </row>
        <row r="207">
          <cell r="B207" t="str">
            <v>A98</v>
          </cell>
          <cell r="C207" t="str">
            <v xml:space="preserve">    </v>
          </cell>
          <cell r="D207" t="str">
            <v xml:space="preserve"> 126</v>
          </cell>
          <cell r="E207" t="str">
            <v>N16</v>
          </cell>
          <cell r="F207" t="str">
            <v>N16</v>
          </cell>
          <cell r="G207" t="str">
            <v>九州</v>
          </cell>
          <cell r="H207" t="str">
            <v>(ﾓ)ﾊﾟﾙｻｰ</v>
          </cell>
          <cell r="I207" t="str">
            <v>山中</v>
          </cell>
          <cell r="J207" t="str">
            <v>H/L,FC/L,RC/L</v>
          </cell>
          <cell r="K207" t="str">
            <v>98-09</v>
          </cell>
          <cell r="L207" t="str">
            <v>99-03</v>
          </cell>
        </row>
        <row r="208">
          <cell r="B208" t="str">
            <v>A99</v>
          </cell>
          <cell r="C208" t="str">
            <v xml:space="preserve">    </v>
          </cell>
          <cell r="D208" t="str">
            <v xml:space="preserve"> 090</v>
          </cell>
          <cell r="E208" t="str">
            <v>K11</v>
          </cell>
          <cell r="F208" t="str">
            <v>K11</v>
          </cell>
          <cell r="G208" t="str">
            <v>ｵｰﾃｯｸ</v>
          </cell>
          <cell r="H208" t="str">
            <v>(ﾏ)ﾏｰﾁﾎﾞﾚﾛ</v>
          </cell>
          <cell r="I208" t="str">
            <v>林</v>
          </cell>
          <cell r="J208" t="str">
            <v>H/L,RC/L</v>
          </cell>
          <cell r="K208" t="str">
            <v>97-07</v>
          </cell>
          <cell r="L208" t="str">
            <v>97-09</v>
          </cell>
        </row>
        <row r="209">
          <cell r="B209" t="str">
            <v>B00</v>
          </cell>
          <cell r="C209" t="str">
            <v>146</v>
          </cell>
          <cell r="D209" t="str">
            <v>146</v>
          </cell>
          <cell r="E209" t="str">
            <v>J,PG50</v>
          </cell>
          <cell r="F209" t="str">
            <v>J,PG50</v>
          </cell>
          <cell r="G209" t="str">
            <v>栃木</v>
          </cell>
          <cell r="H209" t="str">
            <v>(ﾏ)ﾌﾟﾚｼﾞﾃﾞﾝﾄ</v>
          </cell>
          <cell r="I209" t="str">
            <v>八木</v>
          </cell>
          <cell r="J209" t="str">
            <v>H/L,F/L.RC/L</v>
          </cell>
          <cell r="K209" t="str">
            <v>98-05</v>
          </cell>
          <cell r="L209" t="str">
            <v>98-11</v>
          </cell>
        </row>
        <row r="210">
          <cell r="B210" t="str">
            <v>B01</v>
          </cell>
          <cell r="C210" t="str">
            <v xml:space="preserve">    </v>
          </cell>
          <cell r="D210" t="str">
            <v xml:space="preserve"> 143</v>
          </cell>
          <cell r="E210" t="str">
            <v>FY33</v>
          </cell>
          <cell r="F210" t="str">
            <v>FY33</v>
          </cell>
          <cell r="G210" t="str">
            <v>栃木</v>
          </cell>
          <cell r="H210" t="str">
            <v>(ﾏ)ｼｰﾏ　[北米］</v>
          </cell>
          <cell r="I210" t="str">
            <v>八木</v>
          </cell>
          <cell r="J210" t="str">
            <v>R/G,RC/L,H/L,D/M,ROOF/CONS,B/L</v>
          </cell>
          <cell r="K210" t="str">
            <v>97-11</v>
          </cell>
          <cell r="L210" t="str">
            <v>98-05</v>
          </cell>
        </row>
        <row r="211">
          <cell r="B211" t="str">
            <v>B01</v>
          </cell>
          <cell r="C211" t="str">
            <v xml:space="preserve">    </v>
          </cell>
          <cell r="D211" t="str">
            <v xml:space="preserve"> 143</v>
          </cell>
          <cell r="E211" t="str">
            <v>FY33</v>
          </cell>
          <cell r="F211" t="str">
            <v>FY33</v>
          </cell>
          <cell r="G211" t="str">
            <v>栃木</v>
          </cell>
          <cell r="H211" t="str">
            <v>(ﾏ)ｼｰﾏ　[国内]</v>
          </cell>
          <cell r="I211" t="str">
            <v>八木</v>
          </cell>
          <cell r="J211" t="str">
            <v>R/G,RC/L,H/L,D/M,ROOF/CONS,B/L</v>
          </cell>
          <cell r="K211" t="str">
            <v>97-11</v>
          </cell>
          <cell r="L211" t="str">
            <v>98-05</v>
          </cell>
        </row>
        <row r="212">
          <cell r="B212" t="str">
            <v>B02</v>
          </cell>
          <cell r="C212" t="str">
            <v xml:space="preserve"> HQ </v>
          </cell>
          <cell r="D212" t="str">
            <v xml:space="preserve"> 135</v>
          </cell>
          <cell r="E212" t="str">
            <v>U14</v>
          </cell>
          <cell r="F212" t="str">
            <v>U14</v>
          </cell>
          <cell r="G212" t="str">
            <v>追浜</v>
          </cell>
          <cell r="H212" t="str">
            <v>(ﾏ)ﾌﾞﾙｰﾊﾞｰﾄﾞ</v>
          </cell>
          <cell r="I212" t="str">
            <v>高木</v>
          </cell>
          <cell r="J212" t="str">
            <v>H/L</v>
          </cell>
          <cell r="K212" t="str">
            <v>97-09</v>
          </cell>
          <cell r="L212" t="str">
            <v>98-07</v>
          </cell>
        </row>
        <row r="213">
          <cell r="B213" t="str">
            <v>B03</v>
          </cell>
          <cell r="C213" t="str">
            <v xml:space="preserve">    </v>
          </cell>
          <cell r="D213" t="str">
            <v xml:space="preserve"> 087</v>
          </cell>
          <cell r="E213">
            <v>0</v>
          </cell>
          <cell r="F213">
            <v>0</v>
          </cell>
          <cell r="G213" t="str">
            <v>村山</v>
          </cell>
          <cell r="H213" t="str">
            <v>(N)ｽｶｲﾗｲﾝ　[英国］</v>
          </cell>
          <cell r="I213" t="str">
            <v>高木</v>
          </cell>
          <cell r="J213" t="str">
            <v>H/L,RC/L</v>
          </cell>
          <cell r="K213">
            <v>0</v>
          </cell>
          <cell r="L213" t="str">
            <v>97-09</v>
          </cell>
        </row>
        <row r="214">
          <cell r="B214" t="str">
            <v>B04</v>
          </cell>
          <cell r="C214" t="str">
            <v xml:space="preserve">NR  </v>
          </cell>
          <cell r="D214" t="str">
            <v xml:space="preserve">    </v>
          </cell>
          <cell r="E214" t="str">
            <v>C24</v>
          </cell>
          <cell r="F214" t="str">
            <v>C24</v>
          </cell>
          <cell r="G214" t="str">
            <v>愛知</v>
          </cell>
          <cell r="H214" t="str">
            <v>(ﾓ)ｾﾚﾅ</v>
          </cell>
          <cell r="I214" t="str">
            <v>篠木</v>
          </cell>
          <cell r="J214" t="str">
            <v>H/L,FTR/L,RC/L</v>
          </cell>
          <cell r="K214" t="str">
            <v>98-11</v>
          </cell>
          <cell r="L214" t="str">
            <v>99-05</v>
          </cell>
        </row>
        <row r="215">
          <cell r="B215" t="str">
            <v>B05</v>
          </cell>
          <cell r="C215" t="str">
            <v xml:space="preserve">aSD </v>
          </cell>
          <cell r="D215" t="str">
            <v xml:space="preserve">    </v>
          </cell>
          <cell r="E215" t="str">
            <v>A33</v>
          </cell>
          <cell r="F215" t="str">
            <v>A33</v>
          </cell>
          <cell r="G215" t="str">
            <v>追浜</v>
          </cell>
          <cell r="H215" t="str">
            <v>(ﾓ)ﾏｷｼﾏ</v>
          </cell>
          <cell r="I215" t="str">
            <v>高木</v>
          </cell>
          <cell r="J215" t="str">
            <v>H/L,FC/L,F/L</v>
          </cell>
          <cell r="K215" t="str">
            <v>98-09</v>
          </cell>
          <cell r="L215" t="str">
            <v>99-03</v>
          </cell>
        </row>
        <row r="216">
          <cell r="B216" t="str">
            <v>B06</v>
          </cell>
          <cell r="C216">
            <v>0</v>
          </cell>
          <cell r="D216">
            <v>0</v>
          </cell>
          <cell r="E216" t="str">
            <v>B14</v>
          </cell>
          <cell r="F216" t="str">
            <v>B14</v>
          </cell>
          <cell r="G216" t="str">
            <v>NMMC</v>
          </cell>
          <cell r="H216" t="str">
            <v>(ﾏ)ｾﾝﾄﾗ</v>
          </cell>
          <cell r="I216" t="str">
            <v>町田</v>
          </cell>
          <cell r="J216" t="str">
            <v>H/L,FTR/L,RC/L,R/F</v>
          </cell>
          <cell r="K216" t="str">
            <v>97-12</v>
          </cell>
          <cell r="L216" t="str">
            <v>98-05</v>
          </cell>
        </row>
        <row r="217">
          <cell r="B217" t="str">
            <v>B07</v>
          </cell>
          <cell r="C217" t="str">
            <v xml:space="preserve"> XC </v>
          </cell>
          <cell r="D217" t="str">
            <v xml:space="preserve"> 131</v>
          </cell>
          <cell r="E217" t="str">
            <v>S15</v>
          </cell>
          <cell r="F217" t="str">
            <v>S15</v>
          </cell>
          <cell r="G217" t="str">
            <v>九州</v>
          </cell>
          <cell r="H217" t="str">
            <v>(ﾓ)ｼﾙﾋﾞｱ</v>
          </cell>
          <cell r="I217" t="str">
            <v>山中</v>
          </cell>
          <cell r="J217" t="str">
            <v>RC/L</v>
          </cell>
          <cell r="K217" t="str">
            <v>98-03</v>
          </cell>
          <cell r="L217" t="str">
            <v>98-12</v>
          </cell>
        </row>
        <row r="218">
          <cell r="B218" t="str">
            <v>B08</v>
          </cell>
          <cell r="C218" t="str">
            <v>156</v>
          </cell>
          <cell r="D218" t="str">
            <v>156</v>
          </cell>
          <cell r="E218" t="str">
            <v>WC34</v>
          </cell>
          <cell r="F218" t="str">
            <v>WC34</v>
          </cell>
          <cell r="G218" t="str">
            <v>村山</v>
          </cell>
          <cell r="H218" t="str">
            <v>(ﾏ)ｽﾃｰｼﾞｱ</v>
          </cell>
          <cell r="I218" t="str">
            <v>西内</v>
          </cell>
          <cell r="J218" t="str">
            <v>RC/L</v>
          </cell>
          <cell r="K218" t="str">
            <v>98-02</v>
          </cell>
          <cell r="L218" t="str">
            <v>98-08</v>
          </cell>
        </row>
        <row r="219">
          <cell r="B219" t="str">
            <v>B09</v>
          </cell>
          <cell r="C219" t="str">
            <v>RM 2</v>
          </cell>
          <cell r="D219" t="str">
            <v xml:space="preserve"> 217</v>
          </cell>
          <cell r="E219" t="str">
            <v>M12</v>
          </cell>
          <cell r="F219" t="str">
            <v>M12</v>
          </cell>
          <cell r="G219" t="str">
            <v>日車</v>
          </cell>
          <cell r="H219" t="str">
            <v>(ﾓ)ﾌﾟﾚｰﾘｰ</v>
          </cell>
          <cell r="I219" t="str">
            <v>八木</v>
          </cell>
          <cell r="J219" t="str">
            <v>H/L,FC/L,RC/L,HMS/L,R/L,L/L,LUG,MAP</v>
          </cell>
          <cell r="K219" t="str">
            <v>97-12</v>
          </cell>
          <cell r="L219" t="str">
            <v>98-10</v>
          </cell>
        </row>
        <row r="220">
          <cell r="B220" t="str">
            <v>B10</v>
          </cell>
          <cell r="C220" t="str">
            <v xml:space="preserve">    </v>
          </cell>
          <cell r="D220" t="str">
            <v xml:space="preserve"> 212</v>
          </cell>
          <cell r="E220" t="str">
            <v>Y31</v>
          </cell>
          <cell r="F220" t="str">
            <v>Y31</v>
          </cell>
          <cell r="G220" t="str">
            <v>日車</v>
          </cell>
          <cell r="H220" t="str">
            <v>(ﾏ)ｾﾄﾞﾘｯｸ,ｸﾞﾛﾘｱ</v>
          </cell>
          <cell r="I220" t="str">
            <v>八木</v>
          </cell>
          <cell r="J220" t="str">
            <v>A/T</v>
          </cell>
          <cell r="K220" t="str">
            <v>97-11</v>
          </cell>
          <cell r="L220" t="str">
            <v>98-06</v>
          </cell>
        </row>
        <row r="221">
          <cell r="B221" t="str">
            <v>B11</v>
          </cell>
          <cell r="C221" t="str">
            <v xml:space="preserve"> NQ </v>
          </cell>
          <cell r="D221" t="str">
            <v xml:space="preserve">    </v>
          </cell>
          <cell r="E221">
            <v>0</v>
          </cell>
          <cell r="F221">
            <v>0</v>
          </cell>
          <cell r="G221" t="str">
            <v>九州</v>
          </cell>
          <cell r="H221" t="str">
            <v>(N)RV車（RAV4ﾀｲﾌﾟ）</v>
          </cell>
          <cell r="I221" t="str">
            <v>山中</v>
          </cell>
          <cell r="J221" t="str">
            <v>H/L,D/M</v>
          </cell>
          <cell r="K221" t="str">
            <v>98-10</v>
          </cell>
          <cell r="L221" t="str">
            <v>99-03</v>
          </cell>
        </row>
        <row r="222">
          <cell r="B222" t="str">
            <v>B12</v>
          </cell>
          <cell r="C222" t="str">
            <v>218</v>
          </cell>
          <cell r="D222" t="str">
            <v>218</v>
          </cell>
          <cell r="E222" t="str">
            <v>Z32</v>
          </cell>
          <cell r="F222" t="str">
            <v>Z32</v>
          </cell>
          <cell r="G222" t="str">
            <v>日車</v>
          </cell>
          <cell r="H222" t="str">
            <v>(ﾏ)ﾌｪｱﾚﾃﾞｨｰZ</v>
          </cell>
          <cell r="I222" t="str">
            <v>八木</v>
          </cell>
          <cell r="J222" t="str">
            <v>H/L</v>
          </cell>
          <cell r="K222" t="str">
            <v>98-02</v>
          </cell>
          <cell r="L222" t="str">
            <v>98-08</v>
          </cell>
        </row>
        <row r="223">
          <cell r="B223" t="str">
            <v>B13</v>
          </cell>
          <cell r="C223" t="str">
            <v xml:space="preserve"> JZE</v>
          </cell>
          <cell r="D223" t="str">
            <v xml:space="preserve">    </v>
          </cell>
          <cell r="E223">
            <v>0</v>
          </cell>
          <cell r="F223">
            <v>0</v>
          </cell>
          <cell r="G223">
            <v>0</v>
          </cell>
          <cell r="H223" t="str">
            <v>(N)電機自動車</v>
          </cell>
          <cell r="I223">
            <v>0</v>
          </cell>
          <cell r="J223" t="str">
            <v>H/L</v>
          </cell>
          <cell r="K223" t="str">
            <v>98-01</v>
          </cell>
          <cell r="L223" t="str">
            <v>98-04</v>
          </cell>
        </row>
        <row r="224">
          <cell r="B224" t="str">
            <v>B14</v>
          </cell>
          <cell r="C224" t="str">
            <v xml:space="preserve">    </v>
          </cell>
          <cell r="D224" t="str">
            <v xml:space="preserve"> 208</v>
          </cell>
          <cell r="E224" t="str">
            <v>W41</v>
          </cell>
          <cell r="F224" t="str">
            <v>W41</v>
          </cell>
          <cell r="G224" t="str">
            <v>日車</v>
          </cell>
          <cell r="H224" t="str">
            <v>(ﾓ)ｼﾋﾞﾘｱﾝ ﾏｲｸﾛﾊﾞｽ</v>
          </cell>
          <cell r="I224" t="str">
            <v>篠木</v>
          </cell>
          <cell r="J224" t="str">
            <v>RC/L,O/M</v>
          </cell>
          <cell r="K224" t="str">
            <v>98-04</v>
          </cell>
          <cell r="L224" t="str">
            <v>98-11</v>
          </cell>
        </row>
        <row r="225">
          <cell r="B225" t="str">
            <v>B15</v>
          </cell>
          <cell r="C225" t="str">
            <v xml:space="preserve">    </v>
          </cell>
          <cell r="D225" t="str">
            <v xml:space="preserve"> 152</v>
          </cell>
          <cell r="E225" t="str">
            <v>C35</v>
          </cell>
          <cell r="F225" t="str">
            <v>C35</v>
          </cell>
          <cell r="G225" t="str">
            <v>村山</v>
          </cell>
          <cell r="H225" t="str">
            <v>(ﾏ)ﾛｰﾚﾙ</v>
          </cell>
          <cell r="I225" t="str">
            <v>西内</v>
          </cell>
          <cell r="J225" t="str">
            <v>FTR/L</v>
          </cell>
          <cell r="K225" t="str">
            <v>97-12</v>
          </cell>
          <cell r="L225" t="str">
            <v>98-06</v>
          </cell>
        </row>
        <row r="226">
          <cell r="B226" t="str">
            <v>B16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 t="str">
            <v>------- 廃番 -------</v>
          </cell>
        </row>
        <row r="227">
          <cell r="B227" t="str">
            <v>B17</v>
          </cell>
          <cell r="C227" t="str">
            <v xml:space="preserve">    </v>
          </cell>
          <cell r="D227" t="str">
            <v xml:space="preserve"> 213</v>
          </cell>
          <cell r="E227" t="str">
            <v>K30</v>
          </cell>
          <cell r="F227" t="str">
            <v>K30</v>
          </cell>
          <cell r="G227" t="str">
            <v>日車</v>
          </cell>
          <cell r="H227" t="str">
            <v>(ﾏ)ｸﾙｰ</v>
          </cell>
          <cell r="I227" t="str">
            <v>八木</v>
          </cell>
          <cell r="J227" t="str">
            <v>H/L,D/M</v>
          </cell>
          <cell r="K227" t="str">
            <v>97-11</v>
          </cell>
          <cell r="L227" t="str">
            <v>98-06</v>
          </cell>
        </row>
        <row r="228">
          <cell r="B228" t="str">
            <v>B18</v>
          </cell>
          <cell r="C228" t="str">
            <v>106</v>
          </cell>
          <cell r="D228" t="str">
            <v>106</v>
          </cell>
          <cell r="E228" t="str">
            <v>N15</v>
          </cell>
          <cell r="F228" t="str">
            <v>N15</v>
          </cell>
          <cell r="G228" t="str">
            <v>九州</v>
          </cell>
          <cell r="H228" t="str">
            <v>(ﾏ)ﾊﾟﾙｻｰ　SRV</v>
          </cell>
          <cell r="I228" t="str">
            <v>山中</v>
          </cell>
          <cell r="J228" t="str">
            <v>RC/L</v>
          </cell>
          <cell r="K228" t="str">
            <v>97-12</v>
          </cell>
          <cell r="L228" t="str">
            <v>98-06</v>
          </cell>
        </row>
        <row r="229">
          <cell r="B229" t="str">
            <v>WB19</v>
          </cell>
          <cell r="C229" t="str">
            <v xml:space="preserve"> FU </v>
          </cell>
          <cell r="D229" t="str">
            <v xml:space="preserve">    </v>
          </cell>
          <cell r="E229">
            <v>0</v>
          </cell>
          <cell r="F229">
            <v>0</v>
          </cell>
          <cell r="G229">
            <v>0</v>
          </cell>
          <cell r="H229" t="str">
            <v>(N)ﾊﾟｲｸｶｰ</v>
          </cell>
          <cell r="I229">
            <v>0</v>
          </cell>
          <cell r="J229" t="str">
            <v>H/L,RC/L,D/M,HMS/L</v>
          </cell>
          <cell r="K229" t="str">
            <v>99-04</v>
          </cell>
          <cell r="L229" t="str">
            <v>99-10</v>
          </cell>
        </row>
        <row r="230">
          <cell r="B230" t="str">
            <v>B20</v>
          </cell>
          <cell r="C230" t="str">
            <v xml:space="preserve">QE  </v>
          </cell>
          <cell r="D230" t="str">
            <v xml:space="preserve">    </v>
          </cell>
          <cell r="E230" t="str">
            <v>Y34</v>
          </cell>
          <cell r="F230" t="str">
            <v>Y34</v>
          </cell>
          <cell r="G230" t="str">
            <v>栃木</v>
          </cell>
          <cell r="H230" t="str">
            <v>(ﾓ)ｾﾄﾞﾘｯｸ､ｸﾞﾛﾘｱ</v>
          </cell>
          <cell r="I230" t="str">
            <v>八木</v>
          </cell>
          <cell r="J230" t="str">
            <v>H/L,L/L,RC/L</v>
          </cell>
          <cell r="K230" t="str">
            <v>98-10</v>
          </cell>
          <cell r="L230" t="str">
            <v>99-05</v>
          </cell>
        </row>
        <row r="231">
          <cell r="B231" t="str">
            <v>WB21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 t="str">
            <v>ｱﾙﾃｨｱ</v>
          </cell>
          <cell r="H231" t="str">
            <v>(N)ｼｬﾗﾝ</v>
          </cell>
          <cell r="I231" t="str">
            <v>林</v>
          </cell>
          <cell r="J231" t="str">
            <v>RU/M</v>
          </cell>
          <cell r="K231">
            <v>0</v>
          </cell>
          <cell r="L231" t="str">
            <v>97-12</v>
          </cell>
        </row>
        <row r="232">
          <cell r="B232" t="str">
            <v>B22</v>
          </cell>
          <cell r="C232">
            <v>0</v>
          </cell>
          <cell r="D232" t="str">
            <v>124</v>
          </cell>
          <cell r="E232">
            <v>0</v>
          </cell>
          <cell r="F232">
            <v>0</v>
          </cell>
          <cell r="G232">
            <v>0</v>
          </cell>
          <cell r="H232" t="str">
            <v>(ﾓ)ｻﾆｰ　[TEM]</v>
          </cell>
          <cell r="I232">
            <v>0</v>
          </cell>
          <cell r="J232">
            <v>0</v>
          </cell>
          <cell r="K232">
            <v>0</v>
          </cell>
          <cell r="L232" t="str">
            <v>99-11</v>
          </cell>
        </row>
        <row r="233">
          <cell r="B233" t="str">
            <v>TB23</v>
          </cell>
          <cell r="C233">
            <v>0</v>
          </cell>
          <cell r="D233" t="str">
            <v>ZZ99</v>
          </cell>
          <cell r="E233">
            <v>0</v>
          </cell>
          <cell r="F233">
            <v>0</v>
          </cell>
          <cell r="G233">
            <v>0</v>
          </cell>
          <cell r="H233" t="str">
            <v>(ﾏ)ｱﾄﾗｽ</v>
          </cell>
          <cell r="I233">
            <v>0</v>
          </cell>
          <cell r="J233">
            <v>0</v>
          </cell>
          <cell r="K233">
            <v>0</v>
          </cell>
          <cell r="L233" t="str">
            <v>99-05</v>
          </cell>
        </row>
        <row r="234">
          <cell r="B234" t="str">
            <v>WB24</v>
          </cell>
          <cell r="C234" t="str">
            <v xml:space="preserve">CI  </v>
          </cell>
          <cell r="D234" t="str">
            <v xml:space="preserve">    </v>
          </cell>
          <cell r="E234" t="str">
            <v>Y11</v>
          </cell>
          <cell r="F234" t="str">
            <v>Y11</v>
          </cell>
          <cell r="G234" t="str">
            <v>日車</v>
          </cell>
          <cell r="H234" t="str">
            <v>(ﾓ)ｳｨﾝｸﾞﾛｰﾄﾞ</v>
          </cell>
          <cell r="I234" t="str">
            <v>篠木</v>
          </cell>
          <cell r="J234" t="str">
            <v>H/L,D/M</v>
          </cell>
          <cell r="K234" t="str">
            <v>98-08</v>
          </cell>
          <cell r="L234" t="str">
            <v>99-04</v>
          </cell>
        </row>
        <row r="235">
          <cell r="B235" t="str">
            <v>B25</v>
          </cell>
          <cell r="C235" t="str">
            <v xml:space="preserve">HM  </v>
          </cell>
          <cell r="D235" t="str">
            <v xml:space="preserve">    </v>
          </cell>
          <cell r="E235">
            <v>0</v>
          </cell>
          <cell r="F235">
            <v>0</v>
          </cell>
          <cell r="G235" t="str">
            <v>村山</v>
          </cell>
          <cell r="H235" t="str">
            <v>(N)新型車</v>
          </cell>
          <cell r="I235" t="str">
            <v>西内</v>
          </cell>
          <cell r="J235" t="str">
            <v>R/R</v>
          </cell>
          <cell r="K235" t="str">
            <v>98-05</v>
          </cell>
          <cell r="L235" t="str">
            <v>98-10</v>
          </cell>
        </row>
        <row r="236">
          <cell r="B236" t="str">
            <v>B26</v>
          </cell>
          <cell r="C236" t="str">
            <v>HS　　</v>
          </cell>
          <cell r="D236">
            <v>0</v>
          </cell>
          <cell r="E236">
            <v>0</v>
          </cell>
          <cell r="F236">
            <v>0</v>
          </cell>
          <cell r="G236" t="str">
            <v>九州</v>
          </cell>
          <cell r="H236" t="str">
            <v>(ﾓ)ｻﾆｰ　[ASEAN]</v>
          </cell>
          <cell r="I236" t="str">
            <v>山中</v>
          </cell>
          <cell r="J236" t="str">
            <v>H/L,FTR/L</v>
          </cell>
          <cell r="K236" t="str">
            <v>98-11</v>
          </cell>
          <cell r="L236" t="str">
            <v>99-05</v>
          </cell>
        </row>
        <row r="237">
          <cell r="B237" t="str">
            <v>WB27</v>
          </cell>
          <cell r="C237" t="str">
            <v>NR　　</v>
          </cell>
          <cell r="D237">
            <v>0</v>
          </cell>
          <cell r="E237">
            <v>0</v>
          </cell>
          <cell r="F237">
            <v>0</v>
          </cell>
          <cell r="G237" t="str">
            <v>ｲﾝﾄﾞﾈｼｱ</v>
          </cell>
          <cell r="H237" t="str">
            <v>(ﾓ)ｾﾚﾅ</v>
          </cell>
          <cell r="I237">
            <v>0</v>
          </cell>
          <cell r="J237" t="str">
            <v>H/L,RC/L</v>
          </cell>
          <cell r="K237" t="str">
            <v>99-05</v>
          </cell>
          <cell r="L237" t="str">
            <v>00-06</v>
          </cell>
        </row>
        <row r="238">
          <cell r="B238" t="str">
            <v>B28</v>
          </cell>
          <cell r="C238">
            <v>0</v>
          </cell>
          <cell r="D238" t="str">
            <v>123</v>
          </cell>
          <cell r="E238" t="str">
            <v>R50</v>
          </cell>
          <cell r="F238" t="str">
            <v>R50</v>
          </cell>
          <cell r="G238" t="str">
            <v>九州</v>
          </cell>
          <cell r="H238" t="str">
            <v>(ﾏ)ﾃﾗﾉ</v>
          </cell>
          <cell r="I238" t="str">
            <v>山中</v>
          </cell>
          <cell r="J238" t="str">
            <v>D/M,MP/L</v>
          </cell>
          <cell r="K238" t="str">
            <v>98-04</v>
          </cell>
          <cell r="L238" t="str">
            <v>98-09</v>
          </cell>
        </row>
        <row r="239">
          <cell r="B239" t="str">
            <v>WB29</v>
          </cell>
          <cell r="C239" t="str">
            <v xml:space="preserve">WPQ </v>
          </cell>
          <cell r="D239" t="str">
            <v xml:space="preserve">    </v>
          </cell>
          <cell r="E239" t="str">
            <v>WA32</v>
          </cell>
          <cell r="F239" t="str">
            <v>WA32</v>
          </cell>
          <cell r="G239" t="str">
            <v>追浜</v>
          </cell>
          <cell r="H239" t="str">
            <v>(ﾏ)ｾﾌｨｰﾛﾜｺﾞﾝ</v>
          </cell>
          <cell r="I239" t="str">
            <v>高木</v>
          </cell>
          <cell r="J239" t="str">
            <v>H/L,FC/L,B/L</v>
          </cell>
          <cell r="K239" t="str">
            <v>98-09</v>
          </cell>
          <cell r="L239" t="str">
            <v>98-12</v>
          </cell>
        </row>
        <row r="240">
          <cell r="B240" t="str">
            <v>WB30</v>
          </cell>
          <cell r="C240" t="str">
            <v>220</v>
          </cell>
          <cell r="D240" t="str">
            <v>220</v>
          </cell>
          <cell r="E240" t="str">
            <v>E05</v>
          </cell>
          <cell r="F240" t="str">
            <v>E05</v>
          </cell>
          <cell r="G240" t="str">
            <v>日車</v>
          </cell>
          <cell r="H240" t="str">
            <v>(ﾏ)ｴﾙｸﾞﾗﾝﾄﾞ</v>
          </cell>
          <cell r="I240" t="str">
            <v>八木</v>
          </cell>
          <cell r="J240" t="str">
            <v>RC/L</v>
          </cell>
          <cell r="K240" t="str">
            <v>98-06</v>
          </cell>
          <cell r="L240" t="str">
            <v>98-12</v>
          </cell>
        </row>
        <row r="241">
          <cell r="B241" t="str">
            <v>B31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B242" t="str">
            <v>B32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B243" t="str">
            <v>B33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B244" t="str">
            <v>B34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B246" t="str">
            <v>826</v>
          </cell>
          <cell r="C246" t="str">
            <v xml:space="preserve"> 59N</v>
          </cell>
          <cell r="D246" t="str">
            <v xml:space="preserve"> 59N</v>
          </cell>
          <cell r="E246" t="str">
            <v>59N</v>
          </cell>
          <cell r="F246" t="str">
            <v>59N</v>
          </cell>
          <cell r="G246" t="str">
            <v>富士重</v>
          </cell>
          <cell r="H246" t="str">
            <v>(ﾏ)ｻﾝﾊﾞｰ(ｸﾗｼｯｸ)</v>
          </cell>
          <cell r="I246" t="str">
            <v>山中</v>
          </cell>
          <cell r="J246" t="str">
            <v>H/L,I/M</v>
          </cell>
          <cell r="K246">
            <v>0</v>
          </cell>
          <cell r="L246" t="str">
            <v>93-10</v>
          </cell>
        </row>
        <row r="247">
          <cell r="B247" t="str">
            <v>836</v>
          </cell>
          <cell r="C247" t="str">
            <v xml:space="preserve"> 23A</v>
          </cell>
          <cell r="D247" t="str">
            <v xml:space="preserve"> 23A</v>
          </cell>
          <cell r="E247" t="str">
            <v>23A</v>
          </cell>
          <cell r="F247" t="str">
            <v>23A</v>
          </cell>
          <cell r="G247" t="str">
            <v>富士重</v>
          </cell>
          <cell r="H247" t="str">
            <v>(ﾓ)ｱﾙｼｵｰﾈSVX</v>
          </cell>
          <cell r="I247" t="str">
            <v>山中</v>
          </cell>
          <cell r="J247" t="str">
            <v>D/M,RC/L,R/F</v>
          </cell>
          <cell r="K247" t="str">
            <v>91-02</v>
          </cell>
          <cell r="L247" t="str">
            <v>91-07</v>
          </cell>
        </row>
        <row r="248">
          <cell r="B248" t="str">
            <v>839</v>
          </cell>
          <cell r="C248" t="str">
            <v xml:space="preserve"> 84G</v>
          </cell>
          <cell r="D248" t="str">
            <v xml:space="preserve"> 84G</v>
          </cell>
          <cell r="E248" t="str">
            <v>84G</v>
          </cell>
          <cell r="F248" t="str">
            <v>84G</v>
          </cell>
          <cell r="G248" t="str">
            <v>富士重</v>
          </cell>
          <cell r="H248" t="str">
            <v>(ﾏ)ﾚｶﾞｼｰ</v>
          </cell>
          <cell r="I248" t="str">
            <v>山中</v>
          </cell>
          <cell r="J248" t="str">
            <v>H/L,FC/L,I/M,RC/L</v>
          </cell>
          <cell r="K248">
            <v>0</v>
          </cell>
          <cell r="L248" t="str">
            <v>91-05</v>
          </cell>
        </row>
        <row r="249">
          <cell r="B249" t="str">
            <v>840</v>
          </cell>
          <cell r="C249" t="str">
            <v xml:space="preserve"> 48V</v>
          </cell>
          <cell r="D249" t="str">
            <v xml:space="preserve"> 48V</v>
          </cell>
          <cell r="E249" t="str">
            <v>48V</v>
          </cell>
          <cell r="F249" t="str">
            <v>48V</v>
          </cell>
          <cell r="G249" t="str">
            <v>富士重</v>
          </cell>
          <cell r="H249" t="str">
            <v>(N)ｳﾞｨｳﾞｨｵ</v>
          </cell>
          <cell r="I249" t="str">
            <v>山中</v>
          </cell>
          <cell r="J249" t="str">
            <v>H/L,FC/L,D/M</v>
          </cell>
          <cell r="K249" t="str">
            <v>91-07</v>
          </cell>
          <cell r="L249" t="str">
            <v>92-02</v>
          </cell>
        </row>
        <row r="250">
          <cell r="B250" t="str">
            <v>841</v>
          </cell>
          <cell r="C250" t="str">
            <v xml:space="preserve"> 22C</v>
          </cell>
          <cell r="D250" t="str">
            <v xml:space="preserve"> 22C</v>
          </cell>
          <cell r="E250" t="str">
            <v>22C</v>
          </cell>
          <cell r="F250" t="str">
            <v>22C</v>
          </cell>
          <cell r="G250" t="str">
            <v>富士重</v>
          </cell>
          <cell r="H250" t="str">
            <v>(ﾓ)ﾚｶﾞｼｰ</v>
          </cell>
          <cell r="I250" t="str">
            <v>山中</v>
          </cell>
          <cell r="J250" t="str">
            <v>RC/L,B/L-FIN,I/M</v>
          </cell>
          <cell r="K250" t="str">
            <v>93-02</v>
          </cell>
          <cell r="L250" t="str">
            <v>93-09</v>
          </cell>
        </row>
        <row r="251">
          <cell r="B251" t="str">
            <v>842</v>
          </cell>
          <cell r="C251" t="str">
            <v xml:space="preserve"> 55N</v>
          </cell>
          <cell r="D251" t="str">
            <v xml:space="preserve"> 55N</v>
          </cell>
          <cell r="E251" t="str">
            <v>55N</v>
          </cell>
          <cell r="F251" t="str">
            <v>55N</v>
          </cell>
          <cell r="G251" t="str">
            <v>富士重</v>
          </cell>
          <cell r="H251" t="str">
            <v>(N)ｲﾝﾌﾟﾚｯｻ</v>
          </cell>
          <cell r="I251" t="str">
            <v>山中</v>
          </cell>
          <cell r="J251" t="str">
            <v>H/L,FC/L,I/M</v>
          </cell>
          <cell r="K251" t="str">
            <v>92-03</v>
          </cell>
          <cell r="L251" t="str">
            <v>92-09</v>
          </cell>
        </row>
        <row r="252">
          <cell r="B252" t="str">
            <v>843</v>
          </cell>
          <cell r="C252" t="str">
            <v xml:space="preserve"> 69D</v>
          </cell>
          <cell r="D252" t="str">
            <v xml:space="preserve"> 69D</v>
          </cell>
          <cell r="E252" t="str">
            <v>69D</v>
          </cell>
          <cell r="F252" t="str">
            <v>69D</v>
          </cell>
          <cell r="G252" t="str">
            <v>富士重</v>
          </cell>
          <cell r="H252" t="str">
            <v>(ﾓ)ﾄﾞﾐﾝｺﾞ</v>
          </cell>
          <cell r="I252" t="str">
            <v>山中</v>
          </cell>
          <cell r="J252" t="str">
            <v>H/L,FC/L,I/M</v>
          </cell>
          <cell r="K252">
            <v>0</v>
          </cell>
          <cell r="L252" t="str">
            <v>93-06</v>
          </cell>
        </row>
        <row r="253">
          <cell r="B253" t="str">
            <v>844</v>
          </cell>
          <cell r="C253" t="str">
            <v xml:space="preserve"> 77S</v>
          </cell>
          <cell r="D253" t="str">
            <v xml:space="preserve"> 77S</v>
          </cell>
          <cell r="E253" t="str">
            <v>77S</v>
          </cell>
          <cell r="F253" t="str">
            <v>77S</v>
          </cell>
          <cell r="G253" t="str">
            <v>富士重</v>
          </cell>
          <cell r="H253" t="str">
            <v>(ﾓ)ｼﾞｬｽﾃｨｰ(凍結)</v>
          </cell>
          <cell r="I253" t="str">
            <v>山中</v>
          </cell>
          <cell r="J253">
            <v>0</v>
          </cell>
          <cell r="K253">
            <v>0</v>
          </cell>
          <cell r="L253" t="str">
            <v>開発中止</v>
          </cell>
        </row>
        <row r="254">
          <cell r="B254" t="str">
            <v>845</v>
          </cell>
          <cell r="C254" t="str">
            <v xml:space="preserve"> 66G</v>
          </cell>
          <cell r="D254" t="str">
            <v xml:space="preserve"> 66G</v>
          </cell>
          <cell r="E254" t="str">
            <v>66G</v>
          </cell>
          <cell r="F254" t="str">
            <v>66G</v>
          </cell>
          <cell r="G254" t="str">
            <v>高田</v>
          </cell>
          <cell r="H254" t="str">
            <v>(N)ｳﾞｨｳﾞｨｵ(Tﾄｯﾌﾟ)</v>
          </cell>
          <cell r="I254" t="str">
            <v>山中</v>
          </cell>
          <cell r="J254" t="str">
            <v>H/L,FC/L,D/M</v>
          </cell>
          <cell r="K254">
            <v>0</v>
          </cell>
          <cell r="L254" t="str">
            <v>93-01</v>
          </cell>
        </row>
        <row r="255">
          <cell r="B255" t="str">
            <v>846</v>
          </cell>
          <cell r="C255" t="str">
            <v xml:space="preserve"> 57Q</v>
          </cell>
          <cell r="D255" t="str">
            <v xml:space="preserve"> 57Q</v>
          </cell>
          <cell r="E255" t="str">
            <v>57Q</v>
          </cell>
          <cell r="F255" t="str">
            <v>57Q</v>
          </cell>
          <cell r="G255" t="str">
            <v>富士重</v>
          </cell>
          <cell r="H255" t="str">
            <v>(ﾏ)ｳﾞｨｳﾞｨｵ</v>
          </cell>
          <cell r="I255" t="str">
            <v>山中</v>
          </cell>
          <cell r="J255" t="str">
            <v>FC/L,D/M</v>
          </cell>
          <cell r="K255" t="str">
            <v>93-07</v>
          </cell>
          <cell r="L255" t="str">
            <v>94-03</v>
          </cell>
        </row>
        <row r="256">
          <cell r="B256" t="str">
            <v>847</v>
          </cell>
          <cell r="C256" t="str">
            <v xml:space="preserve"> 79V</v>
          </cell>
          <cell r="D256" t="str">
            <v xml:space="preserve"> 79V</v>
          </cell>
          <cell r="E256" t="str">
            <v>79V</v>
          </cell>
          <cell r="F256" t="str">
            <v>79V</v>
          </cell>
          <cell r="G256" t="str">
            <v>富士重</v>
          </cell>
          <cell r="H256" t="str">
            <v>(N)ﾎﾚｽﾀｰ</v>
          </cell>
          <cell r="I256" t="str">
            <v>山中</v>
          </cell>
          <cell r="J256" t="str">
            <v>H/L,FC/L,D/M</v>
          </cell>
          <cell r="K256" t="str">
            <v>96-06</v>
          </cell>
          <cell r="L256" t="str">
            <v>97-01</v>
          </cell>
        </row>
        <row r="257">
          <cell r="B257" t="str">
            <v>848</v>
          </cell>
          <cell r="C257" t="str">
            <v xml:space="preserve"> 25H</v>
          </cell>
          <cell r="D257" t="str">
            <v xml:space="preserve"> 25H</v>
          </cell>
          <cell r="E257" t="str">
            <v>25H</v>
          </cell>
          <cell r="F257" t="str">
            <v>25H</v>
          </cell>
          <cell r="G257" t="str">
            <v>富士重</v>
          </cell>
          <cell r="H257" t="str">
            <v>(ﾏ)ﾚｶﾞｼｰ</v>
          </cell>
          <cell r="I257" t="str">
            <v>山中</v>
          </cell>
          <cell r="J257" t="str">
            <v>RC/L,B/L-FIN</v>
          </cell>
          <cell r="K257" t="str">
            <v>95-03</v>
          </cell>
          <cell r="L257" t="str">
            <v>96-05</v>
          </cell>
        </row>
        <row r="258">
          <cell r="B258" t="str">
            <v>849</v>
          </cell>
          <cell r="C258" t="str">
            <v xml:space="preserve"> 11A</v>
          </cell>
          <cell r="D258" t="str">
            <v xml:space="preserve"> 11A</v>
          </cell>
          <cell r="E258" t="str">
            <v>11A</v>
          </cell>
          <cell r="F258" t="str">
            <v>11A</v>
          </cell>
          <cell r="G258" t="str">
            <v>富士重</v>
          </cell>
          <cell r="H258" t="str">
            <v>(ﾓ)ｳﾞｨｳﾞｨｵ</v>
          </cell>
          <cell r="I258" t="str">
            <v>山中</v>
          </cell>
          <cell r="J258" t="str">
            <v>H/L,FC/L,D/M</v>
          </cell>
          <cell r="K258">
            <v>0</v>
          </cell>
          <cell r="L258" t="str">
            <v>開発中止</v>
          </cell>
        </row>
        <row r="259">
          <cell r="B259" t="str">
            <v>850</v>
          </cell>
          <cell r="C259" t="str">
            <v xml:space="preserve"> 48G</v>
          </cell>
          <cell r="D259" t="str">
            <v xml:space="preserve"> 48G</v>
          </cell>
          <cell r="E259" t="str">
            <v>48G</v>
          </cell>
          <cell r="F259" t="str">
            <v>48G</v>
          </cell>
          <cell r="G259" t="str">
            <v>富士重</v>
          </cell>
          <cell r="H259" t="str">
            <v>(N)ｳﾞｨｳﾞｨｵ(ﾋﾞｽﾄﾛ)</v>
          </cell>
          <cell r="I259" t="str">
            <v>山中</v>
          </cell>
          <cell r="J259" t="str">
            <v>H/L,D/M,RC/L</v>
          </cell>
          <cell r="K259" t="str">
            <v>95-03</v>
          </cell>
          <cell r="L259" t="str">
            <v>95-10</v>
          </cell>
        </row>
        <row r="260">
          <cell r="B260" t="str">
            <v>F00</v>
          </cell>
          <cell r="C260" t="str">
            <v xml:space="preserve"> 58T</v>
          </cell>
          <cell r="D260" t="str">
            <v xml:space="preserve"> 58T</v>
          </cell>
          <cell r="E260" t="str">
            <v>58T</v>
          </cell>
          <cell r="F260" t="str">
            <v>58T</v>
          </cell>
          <cell r="G260" t="str">
            <v>富士重</v>
          </cell>
          <cell r="H260" t="str">
            <v>(ﾏ)ｲﾝﾌﾟﾚｯｻ</v>
          </cell>
          <cell r="I260" t="str">
            <v>山中</v>
          </cell>
          <cell r="J260" t="str">
            <v>H/L</v>
          </cell>
          <cell r="K260" t="str">
            <v>96-01</v>
          </cell>
          <cell r="L260" t="str">
            <v>96-07</v>
          </cell>
        </row>
        <row r="261">
          <cell r="B261" t="str">
            <v>F01</v>
          </cell>
          <cell r="C261" t="str">
            <v xml:space="preserve"> 47H</v>
          </cell>
          <cell r="D261" t="str">
            <v xml:space="preserve"> 47H</v>
          </cell>
          <cell r="E261" t="str">
            <v>47H</v>
          </cell>
          <cell r="F261" t="str">
            <v>47H</v>
          </cell>
          <cell r="G261" t="str">
            <v>富士重</v>
          </cell>
          <cell r="H261" t="str">
            <v>(ﾏ)ｳﾞｨｳﾞｨｵ</v>
          </cell>
          <cell r="I261" t="str">
            <v>山中</v>
          </cell>
          <cell r="J261" t="str">
            <v>D/M</v>
          </cell>
          <cell r="K261">
            <v>0</v>
          </cell>
          <cell r="L261" t="str">
            <v>開発中止</v>
          </cell>
        </row>
        <row r="262">
          <cell r="B262" t="str">
            <v>F02</v>
          </cell>
          <cell r="C262" t="str">
            <v xml:space="preserve"> 32T</v>
          </cell>
          <cell r="D262" t="str">
            <v xml:space="preserve"> 32T</v>
          </cell>
          <cell r="E262" t="str">
            <v>32T</v>
          </cell>
          <cell r="F262" t="str">
            <v>32T</v>
          </cell>
          <cell r="G262" t="str">
            <v>富士重</v>
          </cell>
          <cell r="H262" t="str">
            <v>(ﾓ)ｱﾙｼｵｰﾈSVX</v>
          </cell>
          <cell r="I262" t="str">
            <v>山中</v>
          </cell>
          <cell r="J262">
            <v>0</v>
          </cell>
          <cell r="K262">
            <v>0</v>
          </cell>
          <cell r="L262" t="str">
            <v>開発中止</v>
          </cell>
        </row>
        <row r="263">
          <cell r="B263" t="str">
            <v>F03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 t="str">
            <v>富士重</v>
          </cell>
          <cell r="H263" t="str">
            <v>(N)大型ﾊﾞｽ</v>
          </cell>
          <cell r="I263" t="str">
            <v>山中</v>
          </cell>
          <cell r="J263" t="str">
            <v>HMS/L</v>
          </cell>
          <cell r="K263" t="str">
            <v>95-06</v>
          </cell>
          <cell r="L263" t="str">
            <v>95-06</v>
          </cell>
        </row>
        <row r="264">
          <cell r="B264" t="str">
            <v>F04</v>
          </cell>
          <cell r="C264" t="str">
            <v xml:space="preserve"> 46J</v>
          </cell>
          <cell r="D264" t="str">
            <v xml:space="preserve"> 46J</v>
          </cell>
          <cell r="E264" t="str">
            <v>46J</v>
          </cell>
          <cell r="F264" t="str">
            <v>46J</v>
          </cell>
          <cell r="G264" t="str">
            <v>富士重</v>
          </cell>
          <cell r="H264" t="str">
            <v>(ﾏ)ｳﾞｨｳﾞｨｵ</v>
          </cell>
          <cell r="I264" t="str">
            <v>山中</v>
          </cell>
          <cell r="J264" t="str">
            <v>H/L,FC/L,D/M</v>
          </cell>
          <cell r="K264" t="str">
            <v>96-04</v>
          </cell>
          <cell r="L264" t="str">
            <v>96-10</v>
          </cell>
        </row>
        <row r="265">
          <cell r="B265" t="str">
            <v>F05</v>
          </cell>
          <cell r="C265" t="str">
            <v xml:space="preserve"> 26G-E</v>
          </cell>
          <cell r="D265" t="str">
            <v xml:space="preserve"> 26G-E</v>
          </cell>
          <cell r="E265" t="str">
            <v>26G-E</v>
          </cell>
          <cell r="F265" t="str">
            <v>26G-E</v>
          </cell>
          <cell r="G265" t="str">
            <v>富士重</v>
          </cell>
          <cell r="H265" t="str">
            <v>(ﾏ)ﾚｶﾞｼｰ(欧州)</v>
          </cell>
          <cell r="I265" t="str">
            <v>山中</v>
          </cell>
          <cell r="J265" t="str">
            <v>RC/L,R/R</v>
          </cell>
          <cell r="K265" t="str">
            <v>96-10</v>
          </cell>
          <cell r="L265" t="str">
            <v>96-08</v>
          </cell>
        </row>
        <row r="266">
          <cell r="B266" t="str">
            <v>F06</v>
          </cell>
          <cell r="C266" t="str">
            <v xml:space="preserve"> 66L</v>
          </cell>
          <cell r="D266" t="str">
            <v xml:space="preserve"> 66L</v>
          </cell>
          <cell r="E266" t="str">
            <v>66L</v>
          </cell>
          <cell r="F266" t="str">
            <v>66L</v>
          </cell>
          <cell r="G266" t="str">
            <v>富士重</v>
          </cell>
          <cell r="H266" t="str">
            <v>(ﾓ)ﾚｶﾞｼｰ</v>
          </cell>
          <cell r="I266" t="str">
            <v>山中</v>
          </cell>
          <cell r="J266" t="str">
            <v>RC/L,R/F</v>
          </cell>
          <cell r="K266" t="str">
            <v>97-08</v>
          </cell>
          <cell r="L266" t="str">
            <v>98-08</v>
          </cell>
        </row>
        <row r="267">
          <cell r="B267" t="str">
            <v>F07</v>
          </cell>
          <cell r="C267" t="str">
            <v xml:space="preserve"> 21M</v>
          </cell>
          <cell r="D267" t="str">
            <v xml:space="preserve"> 21M</v>
          </cell>
          <cell r="E267" t="str">
            <v>21M</v>
          </cell>
          <cell r="F267" t="str">
            <v>21M</v>
          </cell>
          <cell r="G267" t="str">
            <v>富士重</v>
          </cell>
          <cell r="H267" t="str">
            <v>(ﾏ)ﾚｶﾞｼｰ(ﾗﾝｶｽﾀｰ)</v>
          </cell>
          <cell r="I267" t="str">
            <v>山中</v>
          </cell>
          <cell r="J267" t="str">
            <v>RC/L,R/F</v>
          </cell>
          <cell r="K267" t="str">
            <v>97-01</v>
          </cell>
          <cell r="L267" t="str">
            <v>97-08</v>
          </cell>
        </row>
        <row r="268">
          <cell r="B268" t="str">
            <v>F08</v>
          </cell>
          <cell r="C268" t="str">
            <v xml:space="preserve"> 16R</v>
          </cell>
          <cell r="D268" t="str">
            <v xml:space="preserve"> 16R</v>
          </cell>
          <cell r="E268" t="str">
            <v>16R</v>
          </cell>
          <cell r="F268" t="str">
            <v>16R</v>
          </cell>
          <cell r="G268" t="str">
            <v>富士重</v>
          </cell>
          <cell r="H268" t="str">
            <v>(N)新車(軽RV車)</v>
          </cell>
          <cell r="I268" t="str">
            <v>山中</v>
          </cell>
          <cell r="J268" t="str">
            <v>H/L,FC/L,D/M</v>
          </cell>
          <cell r="K268" t="str">
            <v>97-12</v>
          </cell>
          <cell r="L268" t="str">
            <v>98-09</v>
          </cell>
        </row>
        <row r="269">
          <cell r="B269" t="str">
            <v>F09</v>
          </cell>
          <cell r="C269" t="str">
            <v xml:space="preserve"> 41P</v>
          </cell>
          <cell r="D269" t="str">
            <v xml:space="preserve"> 41P</v>
          </cell>
          <cell r="E269" t="str">
            <v>41P</v>
          </cell>
          <cell r="F269" t="str">
            <v>41P</v>
          </cell>
          <cell r="G269" t="str">
            <v>富士重</v>
          </cell>
          <cell r="H269" t="str">
            <v>(ﾏ)ﾋﾞｽﾄﾛ</v>
          </cell>
          <cell r="I269" t="str">
            <v>山中</v>
          </cell>
          <cell r="J269" t="str">
            <v>H/L</v>
          </cell>
          <cell r="K269" t="str">
            <v>97-05</v>
          </cell>
          <cell r="L269" t="str">
            <v>開発中止</v>
          </cell>
        </row>
        <row r="270">
          <cell r="B270" t="str">
            <v>F10</v>
          </cell>
          <cell r="C270" t="str">
            <v xml:space="preserve"> 53C</v>
          </cell>
          <cell r="D270" t="str">
            <v xml:space="preserve"> 53C</v>
          </cell>
          <cell r="E270" t="str">
            <v>53C</v>
          </cell>
          <cell r="F270" t="str">
            <v>53C</v>
          </cell>
          <cell r="G270" t="str">
            <v>富士重</v>
          </cell>
          <cell r="H270" t="str">
            <v>(派)ｲﾝﾌﾟﾚｯｻ</v>
          </cell>
          <cell r="I270" t="str">
            <v>山中</v>
          </cell>
          <cell r="J270" t="str">
            <v>H/L,FTR/L</v>
          </cell>
          <cell r="K270" t="str">
            <v>97-10</v>
          </cell>
          <cell r="L270" t="str">
            <v>98-10</v>
          </cell>
        </row>
        <row r="271">
          <cell r="B271" t="str">
            <v>F11</v>
          </cell>
          <cell r="C271" t="str">
            <v xml:space="preserve"> 55A</v>
          </cell>
          <cell r="D271" t="str">
            <v xml:space="preserve"> 55A</v>
          </cell>
          <cell r="E271" t="str">
            <v>55A</v>
          </cell>
          <cell r="F271" t="str">
            <v>55A</v>
          </cell>
          <cell r="G271" t="str">
            <v>富士重</v>
          </cell>
          <cell r="H271" t="str">
            <v>(ﾏ)ｲﾝﾌﾟﾚｯｻ</v>
          </cell>
          <cell r="I271" t="str">
            <v>山中</v>
          </cell>
          <cell r="J271" t="str">
            <v>H/L</v>
          </cell>
          <cell r="K271" t="str">
            <v>97-12</v>
          </cell>
          <cell r="L271" t="str">
            <v>98-05</v>
          </cell>
        </row>
        <row r="272">
          <cell r="B272" t="str">
            <v>F12</v>
          </cell>
          <cell r="C272" t="str">
            <v>44S</v>
          </cell>
          <cell r="D272" t="str">
            <v>44S</v>
          </cell>
          <cell r="E272">
            <v>0</v>
          </cell>
          <cell r="F272">
            <v>0</v>
          </cell>
          <cell r="G272" t="str">
            <v>富士重</v>
          </cell>
          <cell r="H272" t="str">
            <v>(ﾓ)ｲﾝﾌﾟﾚｯｻ</v>
          </cell>
          <cell r="I272" t="str">
            <v>山中</v>
          </cell>
          <cell r="J272" t="str">
            <v>H/L</v>
          </cell>
          <cell r="K272" t="str">
            <v>99-07</v>
          </cell>
          <cell r="L272" t="str">
            <v>00-05</v>
          </cell>
        </row>
        <row r="273">
          <cell r="B273" t="str">
            <v>F13</v>
          </cell>
          <cell r="C273" t="str">
            <v>17Q</v>
          </cell>
          <cell r="D273" t="str">
            <v>17Q</v>
          </cell>
          <cell r="E273">
            <v>0</v>
          </cell>
          <cell r="F273">
            <v>0</v>
          </cell>
          <cell r="G273" t="str">
            <v>富士重</v>
          </cell>
          <cell r="H273" t="str">
            <v>(N)軽RV</v>
          </cell>
          <cell r="I273" t="str">
            <v>山中</v>
          </cell>
          <cell r="J273" t="str">
            <v>H/L</v>
          </cell>
          <cell r="K273" t="str">
            <v>99-02</v>
          </cell>
          <cell r="L273" t="str">
            <v>99-06</v>
          </cell>
        </row>
        <row r="274">
          <cell r="B274" t="str">
            <v>F14</v>
          </cell>
          <cell r="C274" t="str">
            <v>71G</v>
          </cell>
          <cell r="D274" t="str">
            <v>71G</v>
          </cell>
          <cell r="E274">
            <v>0</v>
          </cell>
          <cell r="F274">
            <v>0</v>
          </cell>
          <cell r="G274" t="str">
            <v>富士重</v>
          </cell>
          <cell r="H274" t="str">
            <v>(ﾏ)ﾌｫﾚｽﾀｰ</v>
          </cell>
          <cell r="I274" t="str">
            <v>山中</v>
          </cell>
          <cell r="J274" t="str">
            <v>H/L</v>
          </cell>
          <cell r="K274">
            <v>0</v>
          </cell>
          <cell r="L274" t="str">
            <v>98-05</v>
          </cell>
        </row>
        <row r="275">
          <cell r="B275" t="str">
            <v>F15</v>
          </cell>
          <cell r="C275" t="str">
            <v>72F</v>
          </cell>
          <cell r="D275" t="str">
            <v>72F</v>
          </cell>
          <cell r="E275">
            <v>0</v>
          </cell>
          <cell r="F275">
            <v>0</v>
          </cell>
          <cell r="G275" t="str">
            <v>富士重</v>
          </cell>
          <cell r="H275" t="str">
            <v>(ﾏ)ﾌｫﾚｽﾀｰ</v>
          </cell>
          <cell r="I275" t="str">
            <v>山中</v>
          </cell>
          <cell r="J275" t="str">
            <v>H/L</v>
          </cell>
          <cell r="K275">
            <v>0</v>
          </cell>
          <cell r="L275" t="str">
            <v>99-05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B283" t="str">
            <v>F14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B284" t="str">
            <v>F15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 t="str">
            <v>Z10</v>
          </cell>
          <cell r="C285" t="str">
            <v>汎用</v>
          </cell>
          <cell r="D285" t="str">
            <v>汎用</v>
          </cell>
          <cell r="E285">
            <v>0</v>
          </cell>
          <cell r="F285">
            <v>0</v>
          </cell>
          <cell r="G285" t="str">
            <v>ｱﾙﾃｱ</v>
          </cell>
          <cell r="H285" t="str">
            <v>W/Pﾌﾞﾚｰﾄﾞ</v>
          </cell>
          <cell r="I285">
            <v>0</v>
          </cell>
          <cell r="J285">
            <v>0</v>
          </cell>
          <cell r="K285" t="str">
            <v>94-02</v>
          </cell>
          <cell r="L285" t="str">
            <v>94-12</v>
          </cell>
        </row>
        <row r="286">
          <cell r="B286" t="str">
            <v>Z11</v>
          </cell>
          <cell r="C286" t="str">
            <v xml:space="preserve"> 〃</v>
          </cell>
          <cell r="D286" t="str">
            <v xml:space="preserve"> 〃</v>
          </cell>
          <cell r="E286">
            <v>0</v>
          </cell>
          <cell r="F286">
            <v>0</v>
          </cell>
          <cell r="G286" t="str">
            <v xml:space="preserve"> 〃</v>
          </cell>
          <cell r="H286" t="str">
            <v>W/Pﾘﾌｨｰﾙ</v>
          </cell>
          <cell r="I286">
            <v>0</v>
          </cell>
          <cell r="J286">
            <v>0</v>
          </cell>
          <cell r="K286">
            <v>0</v>
          </cell>
          <cell r="L286" t="str">
            <v>94-11</v>
          </cell>
        </row>
        <row r="287">
          <cell r="B287" t="str">
            <v>Z12</v>
          </cell>
          <cell r="C287" t="str">
            <v xml:space="preserve"> 〃</v>
          </cell>
          <cell r="D287" t="str">
            <v xml:space="preserve"> 〃</v>
          </cell>
          <cell r="E287">
            <v>0</v>
          </cell>
          <cell r="F287">
            <v>0</v>
          </cell>
          <cell r="G287" t="str">
            <v xml:space="preserve"> 〃</v>
          </cell>
          <cell r="H287" t="str">
            <v>高効率ﾊﾞﾙﾌﾞ</v>
          </cell>
          <cell r="I287">
            <v>0</v>
          </cell>
          <cell r="J287">
            <v>0</v>
          </cell>
          <cell r="K287">
            <v>0</v>
          </cell>
          <cell r="L287" t="str">
            <v>94-12</v>
          </cell>
        </row>
        <row r="288">
          <cell r="B288" t="str">
            <v>Z13</v>
          </cell>
          <cell r="C288" t="str">
            <v xml:space="preserve"> 〃</v>
          </cell>
          <cell r="D288" t="str">
            <v xml:space="preserve"> 〃</v>
          </cell>
          <cell r="E288">
            <v>0</v>
          </cell>
          <cell r="F288">
            <v>0</v>
          </cell>
          <cell r="G288" t="str">
            <v xml:space="preserve"> 〃</v>
          </cell>
          <cell r="H288" t="str">
            <v>ｶﾝﾃﾗ</v>
          </cell>
          <cell r="I288">
            <v>0</v>
          </cell>
          <cell r="J288">
            <v>0</v>
          </cell>
          <cell r="K288" t="str">
            <v>95-06</v>
          </cell>
          <cell r="L288" t="str">
            <v>95-08</v>
          </cell>
        </row>
        <row r="289">
          <cell r="B289" t="str">
            <v>Z14</v>
          </cell>
          <cell r="C289" t="str">
            <v xml:space="preserve"> 〃</v>
          </cell>
          <cell r="D289" t="str">
            <v xml:space="preserve"> 〃</v>
          </cell>
          <cell r="E289">
            <v>0</v>
          </cell>
          <cell r="F289">
            <v>0</v>
          </cell>
          <cell r="G289" t="str">
            <v xml:space="preserve"> 〃</v>
          </cell>
          <cell r="H289" t="str">
            <v>ｺｰﾅﾘﾝｸﾞﾗﾝﾌﾟ</v>
          </cell>
          <cell r="I289">
            <v>0</v>
          </cell>
          <cell r="J289">
            <v>0</v>
          </cell>
          <cell r="K289" t="str">
            <v>95-05</v>
          </cell>
          <cell r="L289" t="str">
            <v>95-08</v>
          </cell>
        </row>
        <row r="290">
          <cell r="B290" t="str">
            <v>Z15</v>
          </cell>
          <cell r="C290" t="str">
            <v xml:space="preserve"> 〃</v>
          </cell>
          <cell r="D290" t="str">
            <v xml:space="preserve"> 〃</v>
          </cell>
          <cell r="E290">
            <v>0</v>
          </cell>
          <cell r="F290">
            <v>0</v>
          </cell>
          <cell r="G290" t="str">
            <v xml:space="preserve"> 〃</v>
          </cell>
          <cell r="H290" t="str">
            <v>ﾘﾔｱﾝﾀﾞｰﾐﾗｰ</v>
          </cell>
          <cell r="I290">
            <v>0</v>
          </cell>
          <cell r="J290">
            <v>0</v>
          </cell>
          <cell r="K290" t="str">
            <v>95-05</v>
          </cell>
          <cell r="L290" t="str">
            <v>95-08</v>
          </cell>
        </row>
        <row r="291">
          <cell r="B291" t="str">
            <v>Z16</v>
          </cell>
          <cell r="C291" t="str">
            <v xml:space="preserve"> 〃</v>
          </cell>
          <cell r="D291" t="str">
            <v xml:space="preserve"> 〃</v>
          </cell>
          <cell r="E291">
            <v>0</v>
          </cell>
          <cell r="F291">
            <v>0</v>
          </cell>
          <cell r="G291" t="str">
            <v xml:space="preserve"> 〃</v>
          </cell>
          <cell r="H291" t="str">
            <v>ﾘﾔﾌｫｸﾞ(LED)</v>
          </cell>
          <cell r="I291">
            <v>0</v>
          </cell>
          <cell r="J291">
            <v>0</v>
          </cell>
          <cell r="K291" t="str">
            <v>95-05</v>
          </cell>
          <cell r="L291" t="str">
            <v>95-08</v>
          </cell>
        </row>
        <row r="292">
          <cell r="B292" t="str">
            <v>Z17</v>
          </cell>
          <cell r="C292" t="str">
            <v xml:space="preserve"> 〃</v>
          </cell>
          <cell r="D292" t="str">
            <v xml:space="preserve"> 〃</v>
          </cell>
          <cell r="E292">
            <v>0</v>
          </cell>
          <cell r="F292">
            <v>0</v>
          </cell>
          <cell r="G292" t="str">
            <v xml:space="preserve"> 〃</v>
          </cell>
          <cell r="H292" t="str">
            <v>SPOT/L φ100</v>
          </cell>
          <cell r="I292">
            <v>0</v>
          </cell>
          <cell r="J292">
            <v>0</v>
          </cell>
          <cell r="K292" t="str">
            <v>95-12</v>
          </cell>
          <cell r="L292" t="str">
            <v>95-12</v>
          </cell>
        </row>
        <row r="293">
          <cell r="B293" t="str">
            <v>Z18</v>
          </cell>
          <cell r="C293" t="str">
            <v xml:space="preserve"> 〃</v>
          </cell>
          <cell r="D293" t="str">
            <v xml:space="preserve"> 〃</v>
          </cell>
          <cell r="E293">
            <v>0</v>
          </cell>
          <cell r="F293">
            <v>0</v>
          </cell>
          <cell r="G293" t="str">
            <v xml:space="preserve"> 〃</v>
          </cell>
          <cell r="H293" t="str">
            <v>ﾏﾙﾁﾌﾚｯｸｽ φ100 DR/L</v>
          </cell>
          <cell r="I293">
            <v>0</v>
          </cell>
          <cell r="J293">
            <v>0</v>
          </cell>
          <cell r="K293" t="str">
            <v>95-12</v>
          </cell>
          <cell r="L293" t="str">
            <v>95-12</v>
          </cell>
        </row>
        <row r="294">
          <cell r="B294" t="str">
            <v>Z19</v>
          </cell>
          <cell r="C294" t="str">
            <v xml:space="preserve"> 〃</v>
          </cell>
          <cell r="D294" t="str">
            <v xml:space="preserve"> 〃</v>
          </cell>
          <cell r="E294">
            <v>0</v>
          </cell>
          <cell r="F294">
            <v>0</v>
          </cell>
          <cell r="G294" t="str">
            <v xml:space="preserve"> 〃</v>
          </cell>
          <cell r="H294" t="str">
            <v>丸4H/L</v>
          </cell>
          <cell r="I294">
            <v>0</v>
          </cell>
          <cell r="J294" t="str">
            <v>H/L</v>
          </cell>
          <cell r="K294" t="str">
            <v>96-03</v>
          </cell>
          <cell r="L294" t="str">
            <v>96-06</v>
          </cell>
        </row>
        <row r="295">
          <cell r="B295" t="str">
            <v>Z20</v>
          </cell>
          <cell r="C295" t="str">
            <v xml:space="preserve"> 〃</v>
          </cell>
          <cell r="D295" t="str">
            <v xml:space="preserve"> 〃</v>
          </cell>
          <cell r="E295">
            <v>0</v>
          </cell>
          <cell r="F295">
            <v>0</v>
          </cell>
          <cell r="G295" t="str">
            <v xml:space="preserve"> 〃</v>
          </cell>
          <cell r="H295" t="str">
            <v>高照度B/L</v>
          </cell>
          <cell r="I295">
            <v>0</v>
          </cell>
          <cell r="J295" t="str">
            <v>B/L</v>
          </cell>
          <cell r="K295" t="str">
            <v>95-12</v>
          </cell>
          <cell r="L295" t="str">
            <v>95-03</v>
          </cell>
        </row>
        <row r="296">
          <cell r="B296" t="str">
            <v>Z21</v>
          </cell>
          <cell r="C296" t="str">
            <v xml:space="preserve"> 〃</v>
          </cell>
          <cell r="D296" t="str">
            <v xml:space="preserve"> 〃</v>
          </cell>
          <cell r="E296">
            <v>0</v>
          </cell>
          <cell r="F296">
            <v>0</v>
          </cell>
          <cell r="G296" t="str">
            <v xml:space="preserve"> 〃</v>
          </cell>
          <cell r="H296" t="str">
            <v>ｺｰﾅﾘﾝｸﾞﾗﾝﾌﾟ</v>
          </cell>
          <cell r="I296">
            <v>0</v>
          </cell>
          <cell r="J296" t="str">
            <v>COR/L</v>
          </cell>
          <cell r="K296" t="str">
            <v>95-06</v>
          </cell>
          <cell r="L296" t="str">
            <v>95-09</v>
          </cell>
        </row>
        <row r="297">
          <cell r="B297" t="str">
            <v>Z22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B298" t="str">
            <v>Z23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 t="str">
            <v>Z24</v>
          </cell>
          <cell r="C299" t="str">
            <v xml:space="preserve"> 〃</v>
          </cell>
          <cell r="D299" t="str">
            <v xml:space="preserve"> 〃</v>
          </cell>
          <cell r="E299">
            <v>0</v>
          </cell>
          <cell r="F299">
            <v>0</v>
          </cell>
          <cell r="G299" t="str">
            <v xml:space="preserve"> 〃</v>
          </cell>
          <cell r="H299" t="str">
            <v>ﾏｲｸﾛF/L</v>
          </cell>
          <cell r="I299">
            <v>0</v>
          </cell>
          <cell r="J299" t="str">
            <v>F/L</v>
          </cell>
          <cell r="K299" t="str">
            <v>96-09</v>
          </cell>
          <cell r="L299" t="str">
            <v>97-03</v>
          </cell>
        </row>
        <row r="300">
          <cell r="B300" t="str">
            <v>Z25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B301" t="str">
            <v>Z26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B302" t="str">
            <v>Z27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B303" t="str">
            <v>Z28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B304" t="str">
            <v>Z29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B305" t="str">
            <v>Z30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B306" t="str">
            <v>Z31</v>
          </cell>
          <cell r="C306" t="str">
            <v xml:space="preserve"> 〃</v>
          </cell>
          <cell r="D306" t="str">
            <v xml:space="preserve"> 〃</v>
          </cell>
          <cell r="E306">
            <v>0</v>
          </cell>
          <cell r="F306">
            <v>0</v>
          </cell>
          <cell r="G306" t="str">
            <v xml:space="preserve"> 〃</v>
          </cell>
          <cell r="H306" t="str">
            <v>ｶﾙﾌｫﾙﾆｱﾐﾗｰ</v>
          </cell>
          <cell r="I306">
            <v>0</v>
          </cell>
          <cell r="J306">
            <v>0</v>
          </cell>
          <cell r="K306" t="str">
            <v>97-01</v>
          </cell>
          <cell r="L306" t="str">
            <v>97-02</v>
          </cell>
        </row>
        <row r="307">
          <cell r="B307" t="str">
            <v>Z32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B308" t="str">
            <v>Z33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B309" t="str">
            <v>Z34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  <sheetName val="設計・生準の解析&amp;事例登録書_改_030124"/>
      <sheetName val="日産呼称DATA"/>
      <sheetName val="不良ﾃﾞｰﾀ資料"/>
      <sheetName val="外注納不"/>
      <sheetName val="OS-A(English)"/>
      <sheetName val="ﾄﾞﾛｯﾌﾟﾀﾞｳﾝLIST (2)"/>
      <sheetName val="0409"/>
      <sheetName val="設計・生準不具合_原紙"/>
      <sheetName val="ﾄﾞﾛｯﾌﾟﾀﾞｳﾝLIST_(2)"/>
      <sheetName val="リスト"/>
      <sheetName val="加工費"/>
      <sheetName val="部品単価表"/>
      <sheetName val="日程管理表"/>
      <sheetName val="OB Contracts"/>
      <sheetName val="Main"/>
      <sheetName val="Benchmarking_later"/>
      <sheetName val="事務所引越見積書"/>
      <sheetName val="#REF!"/>
      <sheetName val="ｽｸﾗｯﾌﾟ@"/>
      <sheetName val="行数"/>
      <sheetName val="ﾍﾞｰｽ"/>
      <sheetName val="ｴｷｽﾄﾗ"/>
      <sheetName val="列数"/>
      <sheetName val="ＴＦ関連Ｐｒｊ日程表"/>
      <sheetName val="x03hpw"/>
      <sheetName val="日程"/>
      <sheetName val="進め方"/>
      <sheetName val="色仕様"/>
      <sheetName val="対象部番一覧"/>
      <sheetName val="List"/>
      <sheetName val="file_list"/>
      <sheetName val="List2"/>
      <sheetName val="進度データ"/>
      <sheetName val="ﾊﾟｲﾌﾟ"/>
      <sheetName val="他材料費"/>
      <sheetName val="熱延鋼板"/>
      <sheetName val="冷延鋼板"/>
      <sheetName val="MOTO"/>
      <sheetName val="Titel"/>
      <sheetName val="Hyp"/>
    </sheetNames>
    <sheetDataSet>
      <sheetData sheetId="0"/>
      <sheetData sheetId="1" refreshError="1">
        <row r="5">
          <cell r="C5" t="str">
            <v>予防</v>
          </cell>
          <cell r="G5" t="str">
            <v>トヨタ</v>
          </cell>
          <cell r="H5" t="str">
            <v>第1設計部</v>
          </cell>
        </row>
        <row r="6">
          <cell r="C6" t="str">
            <v>発生</v>
          </cell>
          <cell r="G6" t="str">
            <v>いすゞ</v>
          </cell>
          <cell r="H6" t="str">
            <v>第2設計部</v>
          </cell>
        </row>
        <row r="7">
          <cell r="G7" t="str">
            <v>産業機械</v>
          </cell>
          <cell r="H7" t="str">
            <v>第3設計部</v>
          </cell>
        </row>
        <row r="8">
          <cell r="G8" t="str">
            <v>スズキ</v>
          </cell>
          <cell r="H8" t="str">
            <v>生産技術部</v>
          </cell>
        </row>
        <row r="9">
          <cell r="G9" t="str">
            <v>ダイハツ</v>
          </cell>
          <cell r="H9" t="str">
            <v>伊勢原製造所</v>
          </cell>
        </row>
        <row r="10">
          <cell r="G10" t="str">
            <v>日デ</v>
          </cell>
          <cell r="H10" t="str">
            <v>大泉製造所</v>
          </cell>
        </row>
        <row r="11">
          <cell r="G11" t="str">
            <v>日産</v>
          </cell>
          <cell r="H11" t="str">
            <v>藤岡製造所</v>
          </cell>
        </row>
        <row r="12">
          <cell r="G12" t="str">
            <v>日野</v>
          </cell>
          <cell r="H12" t="str">
            <v>中津川製造所</v>
          </cell>
        </row>
        <row r="13">
          <cell r="G13" t="str">
            <v>富士重</v>
          </cell>
          <cell r="H13" t="str">
            <v>ミラー製造所</v>
          </cell>
        </row>
        <row r="14">
          <cell r="G14" t="str">
            <v>本田</v>
          </cell>
          <cell r="H14" t="str">
            <v>品質保証部</v>
          </cell>
        </row>
        <row r="15">
          <cell r="G15" t="str">
            <v>マツダ</v>
          </cell>
          <cell r="H15" t="str">
            <v>ﾜｲﾊﾟｰ部</v>
          </cell>
        </row>
        <row r="16">
          <cell r="G16" t="str">
            <v>三菱</v>
          </cell>
        </row>
        <row r="17">
          <cell r="G17" t="str">
            <v>ミツバ</v>
          </cell>
        </row>
        <row r="18">
          <cell r="G18" t="str">
            <v>自電</v>
          </cell>
        </row>
        <row r="19">
          <cell r="G19" t="str">
            <v>日車</v>
          </cell>
        </row>
        <row r="20">
          <cell r="G20" t="str">
            <v>他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60"/>
  <sheetViews>
    <sheetView showGridLines="0" view="pageBreakPreview" topLeftCell="A25" zoomScale="115" zoomScaleNormal="89" zoomScaleSheetLayoutView="115" workbookViewId="0">
      <selection activeCell="T38" sqref="T38"/>
    </sheetView>
  </sheetViews>
  <sheetFormatPr defaultColWidth="5.6640625" defaultRowHeight="14.4"/>
  <cols>
    <col min="1" max="2" width="2.6640625" style="136" customWidth="1"/>
    <col min="3" max="3" width="3.6640625" style="136" customWidth="1"/>
    <col min="4" max="4" width="4.6640625" style="136" customWidth="1"/>
    <col min="5" max="5" width="7.44140625" style="136" customWidth="1"/>
    <col min="6" max="9" width="9.6640625" style="136" customWidth="1"/>
    <col min="10" max="15" width="5.6640625" style="136" customWidth="1"/>
    <col min="16" max="17" width="2.6640625" style="136" customWidth="1"/>
    <col min="18" max="16384" width="5.6640625" style="136"/>
  </cols>
  <sheetData>
    <row r="1" spans="2:16" ht="15" thickBot="1"/>
    <row r="2" spans="2:16" ht="13.5" customHeight="1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</row>
    <row r="3" spans="2:16" ht="13.5" customHeight="1">
      <c r="B3" s="140"/>
      <c r="D3" s="141">
        <v>1</v>
      </c>
      <c r="E3" s="189" t="s">
        <v>0</v>
      </c>
      <c r="F3" s="189"/>
      <c r="G3" s="142"/>
      <c r="L3" s="194" t="s">
        <v>1</v>
      </c>
      <c r="M3" s="195"/>
      <c r="N3" s="195"/>
      <c r="O3" s="196"/>
      <c r="P3" s="143"/>
    </row>
    <row r="4" spans="2:16" ht="13.5" customHeight="1">
      <c r="B4" s="140"/>
      <c r="D4" s="141">
        <v>2</v>
      </c>
      <c r="E4" s="189" t="s">
        <v>2</v>
      </c>
      <c r="F4" s="189"/>
      <c r="G4" s="142"/>
      <c r="L4" s="197" t="s">
        <v>3</v>
      </c>
      <c r="M4" s="198"/>
      <c r="N4" s="198"/>
      <c r="O4" s="199"/>
      <c r="P4" s="143"/>
    </row>
    <row r="5" spans="2:16" ht="13.5" customHeight="1">
      <c r="B5" s="140"/>
      <c r="D5" s="141">
        <v>3</v>
      </c>
      <c r="E5" s="189" t="s">
        <v>4</v>
      </c>
      <c r="F5" s="189"/>
      <c r="G5" s="142"/>
      <c r="L5" s="200"/>
      <c r="M5" s="201"/>
      <c r="N5" s="201"/>
      <c r="O5" s="202"/>
      <c r="P5" s="143"/>
    </row>
    <row r="6" spans="2:16" ht="13.5" customHeight="1">
      <c r="B6" s="140"/>
      <c r="D6" s="141">
        <v>4</v>
      </c>
      <c r="E6" s="189" t="s">
        <v>5</v>
      </c>
      <c r="F6" s="189"/>
      <c r="P6" s="143"/>
    </row>
    <row r="7" spans="2:16" ht="13.5" customHeight="1">
      <c r="B7" s="140"/>
      <c r="D7" s="144">
        <v>5</v>
      </c>
      <c r="E7" s="189" t="s">
        <v>6</v>
      </c>
      <c r="F7" s="189"/>
      <c r="P7" s="143"/>
    </row>
    <row r="8" spans="2:16" ht="13.5" customHeight="1">
      <c r="B8" s="140"/>
      <c r="D8" s="144" t="s">
        <v>7</v>
      </c>
      <c r="E8" s="190" t="s">
        <v>8</v>
      </c>
      <c r="F8" s="190"/>
      <c r="P8" s="143"/>
    </row>
    <row r="9" spans="2:16" ht="13.5" customHeight="1">
      <c r="B9" s="140"/>
      <c r="D9" s="144">
        <v>7</v>
      </c>
      <c r="E9" s="190" t="s">
        <v>9</v>
      </c>
      <c r="F9" s="190"/>
      <c r="P9" s="143"/>
    </row>
    <row r="10" spans="2:16" ht="13.5" customHeight="1">
      <c r="B10" s="140"/>
      <c r="P10" s="143"/>
    </row>
    <row r="11" spans="2:16" ht="13.5" customHeight="1">
      <c r="B11" s="140"/>
      <c r="D11" s="191" t="s">
        <v>10</v>
      </c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P11" s="143"/>
    </row>
    <row r="12" spans="2:16" ht="13.5" customHeight="1">
      <c r="B12" s="140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P12" s="143"/>
    </row>
    <row r="13" spans="2:16" ht="13.5" customHeight="1">
      <c r="B13" s="140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P13" s="143"/>
    </row>
    <row r="14" spans="2:16" ht="13.5" customHeight="1">
      <c r="B14" s="140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P14" s="143"/>
    </row>
    <row r="15" spans="2:16" ht="13.5" customHeight="1">
      <c r="B15" s="140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P15" s="143"/>
    </row>
    <row r="16" spans="2:16" ht="13.5" customHeight="1">
      <c r="B16" s="140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P16" s="143"/>
    </row>
    <row r="17" spans="2:16" ht="13.5" customHeight="1">
      <c r="B17" s="140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P17" s="143"/>
    </row>
    <row r="18" spans="2:16" ht="13.5" customHeight="1">
      <c r="B18" s="140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P18" s="143"/>
    </row>
    <row r="19" spans="2:16" ht="10.95" customHeight="1">
      <c r="B19" s="140"/>
      <c r="P19" s="143"/>
    </row>
    <row r="20" spans="2:16" ht="10.95" customHeight="1">
      <c r="B20" s="140"/>
      <c r="P20" s="143"/>
    </row>
    <row r="21" spans="2:16" ht="13.5" customHeight="1">
      <c r="B21" s="140"/>
      <c r="C21" s="192" t="s">
        <v>11</v>
      </c>
      <c r="D21" s="192"/>
      <c r="E21" s="192"/>
      <c r="F21" s="192"/>
      <c r="G21" s="192"/>
      <c r="H21" s="192"/>
      <c r="I21" s="193" t="s">
        <v>12</v>
      </c>
      <c r="J21" s="193"/>
      <c r="K21" s="193"/>
      <c r="L21" s="193"/>
      <c r="M21" s="193"/>
      <c r="N21" s="193"/>
      <c r="O21" s="193"/>
      <c r="P21" s="143"/>
    </row>
    <row r="22" spans="2:16" ht="13.5" customHeight="1">
      <c r="B22" s="140"/>
      <c r="C22" s="203" t="s">
        <v>13</v>
      </c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143"/>
    </row>
    <row r="23" spans="2:16" ht="13.5" customHeight="1">
      <c r="B23" s="140"/>
      <c r="C23" s="203" t="s">
        <v>14</v>
      </c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143"/>
    </row>
    <row r="24" spans="2:16" ht="13.5" customHeight="1">
      <c r="B24" s="140"/>
      <c r="C24" s="203" t="s">
        <v>15</v>
      </c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143"/>
    </row>
    <row r="25" spans="2:16" ht="13.5" customHeight="1">
      <c r="B25" s="140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143"/>
    </row>
    <row r="26" spans="2:16" ht="13.5" customHeight="1">
      <c r="B26" s="140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143"/>
    </row>
    <row r="27" spans="2:16" ht="13.5" customHeight="1">
      <c r="B27" s="140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143"/>
    </row>
    <row r="28" spans="2:16" ht="13.5" customHeight="1">
      <c r="B28" s="140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143"/>
    </row>
    <row r="29" spans="2:16" ht="13.5" customHeight="1">
      <c r="B29" s="140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143"/>
    </row>
    <row r="30" spans="2:16" ht="13.5" customHeight="1">
      <c r="B30" s="140"/>
      <c r="P30" s="143"/>
    </row>
    <row r="31" spans="2:16" ht="13.5" customHeight="1" thickBot="1">
      <c r="B31" s="140"/>
      <c r="C31" s="166" t="s">
        <v>16</v>
      </c>
      <c r="P31" s="143"/>
    </row>
    <row r="32" spans="2:16" ht="11.7" customHeight="1">
      <c r="B32" s="140"/>
      <c r="C32" s="165" t="s">
        <v>17</v>
      </c>
      <c r="D32" s="212" t="s">
        <v>18</v>
      </c>
      <c r="E32" s="213"/>
      <c r="F32" s="214" t="s">
        <v>19</v>
      </c>
      <c r="G32" s="214"/>
      <c r="H32" s="214"/>
      <c r="I32" s="214"/>
      <c r="J32" s="214"/>
      <c r="K32" s="214"/>
      <c r="L32" s="212" t="s">
        <v>20</v>
      </c>
      <c r="M32" s="213"/>
      <c r="N32" s="212" t="s">
        <v>21</v>
      </c>
      <c r="O32" s="215"/>
      <c r="P32" s="145"/>
    </row>
    <row r="33" spans="2:16" ht="11.7" customHeight="1">
      <c r="B33" s="140"/>
      <c r="C33" s="146" t="s">
        <v>22</v>
      </c>
      <c r="D33" s="204">
        <v>45926</v>
      </c>
      <c r="E33" s="204"/>
      <c r="F33" s="205" t="s">
        <v>23</v>
      </c>
      <c r="G33" s="206"/>
      <c r="H33" s="206"/>
      <c r="I33" s="206"/>
      <c r="J33" s="206"/>
      <c r="K33" s="206"/>
      <c r="L33" s="205" t="s">
        <v>24</v>
      </c>
      <c r="M33" s="207"/>
      <c r="N33" s="208"/>
      <c r="O33" s="209"/>
      <c r="P33" s="147"/>
    </row>
    <row r="34" spans="2:16" ht="11.7" customHeight="1">
      <c r="B34" s="140"/>
      <c r="C34" s="148" t="s">
        <v>25</v>
      </c>
      <c r="D34" s="210">
        <v>45897</v>
      </c>
      <c r="E34" s="211"/>
      <c r="F34" s="205" t="s">
        <v>26</v>
      </c>
      <c r="G34" s="206"/>
      <c r="H34" s="206"/>
      <c r="I34" s="206"/>
      <c r="J34" s="206"/>
      <c r="K34" s="206"/>
      <c r="L34" s="205" t="s">
        <v>24</v>
      </c>
      <c r="M34" s="207"/>
      <c r="N34" s="208"/>
      <c r="O34" s="209"/>
      <c r="P34" s="147"/>
    </row>
    <row r="35" spans="2:16" ht="11.7" customHeight="1">
      <c r="B35" s="140"/>
      <c r="C35" s="148" t="s">
        <v>27</v>
      </c>
      <c r="D35" s="210">
        <v>45926</v>
      </c>
      <c r="E35" s="211"/>
      <c r="F35" s="205" t="s">
        <v>28</v>
      </c>
      <c r="G35" s="206"/>
      <c r="H35" s="206"/>
      <c r="I35" s="206"/>
      <c r="J35" s="206"/>
      <c r="K35" s="207"/>
      <c r="L35" s="205" t="s">
        <v>24</v>
      </c>
      <c r="M35" s="207"/>
      <c r="N35" s="208"/>
      <c r="O35" s="209"/>
      <c r="P35" s="147"/>
    </row>
    <row r="36" spans="2:16" ht="11.7" customHeight="1">
      <c r="B36" s="140"/>
      <c r="C36" s="148" t="s">
        <v>29</v>
      </c>
      <c r="D36" s="210">
        <v>45931</v>
      </c>
      <c r="E36" s="211"/>
      <c r="F36" s="194" t="s">
        <v>30</v>
      </c>
      <c r="G36" s="195"/>
      <c r="H36" s="195"/>
      <c r="I36" s="195"/>
      <c r="J36" s="195"/>
      <c r="K36" s="196"/>
      <c r="L36" s="205" t="s">
        <v>24</v>
      </c>
      <c r="M36" s="207"/>
      <c r="N36" s="208"/>
      <c r="O36" s="209"/>
      <c r="P36" s="147"/>
    </row>
    <row r="37" spans="2:16" ht="11.7" customHeight="1">
      <c r="B37" s="140"/>
      <c r="C37" s="148" t="s">
        <v>31</v>
      </c>
      <c r="D37" s="216">
        <v>46072</v>
      </c>
      <c r="E37" s="217"/>
      <c r="F37" s="205" t="s">
        <v>32</v>
      </c>
      <c r="G37" s="206"/>
      <c r="H37" s="206"/>
      <c r="I37" s="206"/>
      <c r="J37" s="206"/>
      <c r="K37" s="206"/>
      <c r="L37" s="205" t="s">
        <v>24</v>
      </c>
      <c r="M37" s="207"/>
      <c r="N37" s="208"/>
      <c r="O37" s="209"/>
      <c r="P37" s="147"/>
    </row>
    <row r="38" spans="2:16" ht="11.7" customHeight="1">
      <c r="B38" s="140"/>
      <c r="C38" s="148" t="s">
        <v>33</v>
      </c>
      <c r="D38" s="218">
        <v>46087</v>
      </c>
      <c r="E38" s="219"/>
      <c r="F38" s="205" t="s">
        <v>34</v>
      </c>
      <c r="G38" s="206"/>
      <c r="H38" s="206"/>
      <c r="I38" s="206"/>
      <c r="J38" s="206"/>
      <c r="K38" s="206"/>
      <c r="L38" s="205" t="s">
        <v>24</v>
      </c>
      <c r="M38" s="207"/>
      <c r="N38" s="208"/>
      <c r="O38" s="209"/>
      <c r="P38" s="147"/>
    </row>
    <row r="39" spans="2:16" ht="11.7" customHeight="1">
      <c r="B39" s="140"/>
      <c r="C39" s="149">
        <v>6</v>
      </c>
      <c r="D39" s="218">
        <v>46098</v>
      </c>
      <c r="E39" s="219"/>
      <c r="F39" s="205" t="s">
        <v>34</v>
      </c>
      <c r="G39" s="206"/>
      <c r="H39" s="206"/>
      <c r="I39" s="206"/>
      <c r="J39" s="206"/>
      <c r="K39" s="206"/>
      <c r="L39" s="205" t="s">
        <v>24</v>
      </c>
      <c r="M39" s="207"/>
      <c r="N39" s="208"/>
      <c r="O39" s="209"/>
      <c r="P39" s="147"/>
    </row>
    <row r="40" spans="2:16" ht="11.7" customHeight="1">
      <c r="B40" s="140"/>
      <c r="C40" s="149">
        <v>7</v>
      </c>
      <c r="D40" s="218">
        <v>46169</v>
      </c>
      <c r="E40" s="219"/>
      <c r="F40" s="205" t="s">
        <v>35</v>
      </c>
      <c r="G40" s="206"/>
      <c r="H40" s="206"/>
      <c r="I40" s="206"/>
      <c r="J40" s="206"/>
      <c r="K40" s="206"/>
      <c r="L40" s="205" t="s">
        <v>24</v>
      </c>
      <c r="M40" s="207"/>
      <c r="N40" s="208"/>
      <c r="O40" s="209"/>
      <c r="P40" s="147"/>
    </row>
    <row r="41" spans="2:16" ht="11.7" customHeight="1">
      <c r="B41" s="140"/>
      <c r="C41" s="149">
        <v>8</v>
      </c>
      <c r="D41" s="218">
        <v>46210</v>
      </c>
      <c r="E41" s="219"/>
      <c r="F41" s="205" t="s">
        <v>200</v>
      </c>
      <c r="G41" s="206"/>
      <c r="H41" s="206"/>
      <c r="I41" s="206"/>
      <c r="J41" s="206"/>
      <c r="K41" s="206"/>
      <c r="L41" s="205" t="s">
        <v>24</v>
      </c>
      <c r="M41" s="207"/>
      <c r="N41" s="208"/>
      <c r="O41" s="209"/>
      <c r="P41" s="147"/>
    </row>
    <row r="42" spans="2:16" ht="11.7" customHeight="1">
      <c r="B42" s="140"/>
      <c r="C42" s="148" t="s">
        <v>36</v>
      </c>
      <c r="D42" s="210">
        <v>46262</v>
      </c>
      <c r="E42" s="207"/>
      <c r="F42" s="205" t="s">
        <v>216</v>
      </c>
      <c r="G42" s="206"/>
      <c r="H42" s="206"/>
      <c r="I42" s="206"/>
      <c r="J42" s="206"/>
      <c r="K42" s="206"/>
      <c r="L42" s="205" t="s">
        <v>24</v>
      </c>
      <c r="M42" s="207"/>
      <c r="N42" s="208"/>
      <c r="O42" s="209"/>
      <c r="P42" s="147"/>
    </row>
    <row r="43" spans="2:16" ht="11.7" customHeight="1">
      <c r="B43" s="140"/>
      <c r="C43" s="150" t="s">
        <v>37</v>
      </c>
      <c r="D43" s="220"/>
      <c r="E43" s="221"/>
      <c r="F43" s="222"/>
      <c r="G43" s="223"/>
      <c r="H43" s="223"/>
      <c r="I43" s="223"/>
      <c r="J43" s="223"/>
      <c r="K43" s="223"/>
      <c r="L43" s="205"/>
      <c r="M43" s="207"/>
      <c r="N43" s="208"/>
      <c r="O43" s="209"/>
      <c r="P43" s="147"/>
    </row>
    <row r="44" spans="2:16" ht="11.7" customHeight="1">
      <c r="B44" s="140"/>
      <c r="C44" s="148" t="s">
        <v>38</v>
      </c>
      <c r="D44" s="205"/>
      <c r="E44" s="207"/>
      <c r="F44" s="205"/>
      <c r="G44" s="206"/>
      <c r="H44" s="206"/>
      <c r="I44" s="206"/>
      <c r="J44" s="206"/>
      <c r="K44" s="206"/>
      <c r="L44" s="205"/>
      <c r="M44" s="207"/>
      <c r="N44" s="208"/>
      <c r="O44" s="209"/>
      <c r="P44" s="147"/>
    </row>
    <row r="45" spans="2:16" ht="11.7" customHeight="1">
      <c r="B45" s="140"/>
      <c r="C45" s="148" t="s">
        <v>39</v>
      </c>
      <c r="D45" s="205"/>
      <c r="E45" s="207"/>
      <c r="F45" s="205"/>
      <c r="G45" s="206"/>
      <c r="H45" s="206"/>
      <c r="I45" s="206"/>
      <c r="J45" s="206"/>
      <c r="K45" s="206"/>
      <c r="L45" s="205"/>
      <c r="M45" s="207"/>
      <c r="N45" s="208"/>
      <c r="O45" s="209"/>
      <c r="P45" s="147"/>
    </row>
    <row r="46" spans="2:16" ht="11.7" customHeight="1">
      <c r="B46" s="140"/>
      <c r="C46" s="151" t="s">
        <v>40</v>
      </c>
      <c r="D46" s="160"/>
      <c r="E46" s="161"/>
      <c r="F46" s="160"/>
      <c r="G46" s="162"/>
      <c r="H46" s="162"/>
      <c r="I46" s="162"/>
      <c r="J46" s="162"/>
      <c r="K46" s="162"/>
      <c r="L46" s="160"/>
      <c r="M46" s="161"/>
      <c r="N46" s="163"/>
      <c r="O46" s="164"/>
      <c r="P46" s="147"/>
    </row>
    <row r="47" spans="2:16" ht="11.7" customHeight="1">
      <c r="B47" s="140"/>
      <c r="C47" s="151" t="s">
        <v>41</v>
      </c>
      <c r="D47" s="224"/>
      <c r="E47" s="225"/>
      <c r="F47" s="224"/>
      <c r="G47" s="226"/>
      <c r="H47" s="226"/>
      <c r="I47" s="226"/>
      <c r="J47" s="226"/>
      <c r="K47" s="226"/>
      <c r="L47" s="224"/>
      <c r="M47" s="225"/>
      <c r="N47" s="227"/>
      <c r="O47" s="228"/>
      <c r="P47" s="147"/>
    </row>
    <row r="48" spans="2:16" ht="11.7" customHeight="1" thickBot="1">
      <c r="B48" s="140"/>
      <c r="C48" s="152" t="s">
        <v>42</v>
      </c>
      <c r="D48" s="229"/>
      <c r="E48" s="230"/>
      <c r="F48" s="229"/>
      <c r="G48" s="231"/>
      <c r="H48" s="231"/>
      <c r="I48" s="231"/>
      <c r="J48" s="231"/>
      <c r="K48" s="231"/>
      <c r="L48" s="229"/>
      <c r="M48" s="230"/>
      <c r="N48" s="232"/>
      <c r="O48" s="233"/>
      <c r="P48" s="147"/>
    </row>
    <row r="49" spans="2:31" ht="11.7" customHeight="1">
      <c r="B49" s="140"/>
      <c r="P49" s="143"/>
    </row>
    <row r="50" spans="2:31" ht="11.7" customHeight="1">
      <c r="B50" s="140"/>
      <c r="J50" s="242" t="s">
        <v>20</v>
      </c>
      <c r="K50" s="243"/>
      <c r="L50" s="242" t="s">
        <v>43</v>
      </c>
      <c r="M50" s="243"/>
      <c r="N50" s="242" t="s">
        <v>21</v>
      </c>
      <c r="O50" s="243"/>
      <c r="P50" s="143"/>
      <c r="W50" s="244"/>
      <c r="X50" s="244"/>
      <c r="Y50" s="244"/>
      <c r="Z50" s="244"/>
      <c r="AA50" s="244"/>
      <c r="AB50" s="244"/>
      <c r="AC50" s="244"/>
      <c r="AD50" s="244"/>
      <c r="AE50" s="244"/>
    </row>
    <row r="51" spans="2:31" ht="11.7" customHeight="1">
      <c r="B51" s="140"/>
      <c r="F51" s="153"/>
      <c r="G51" s="153"/>
      <c r="H51" s="153"/>
      <c r="I51" s="153"/>
      <c r="J51" s="242" t="s">
        <v>44</v>
      </c>
      <c r="K51" s="243"/>
      <c r="L51" s="242" t="s">
        <v>45</v>
      </c>
      <c r="M51" s="243"/>
      <c r="N51" s="242" t="s">
        <v>46</v>
      </c>
      <c r="O51" s="243"/>
      <c r="P51" s="143"/>
      <c r="W51" s="244"/>
      <c r="X51" s="244"/>
      <c r="Y51" s="244"/>
      <c r="Z51" s="244"/>
      <c r="AA51" s="244"/>
      <c r="AB51" s="244"/>
      <c r="AC51" s="244"/>
      <c r="AD51" s="244"/>
      <c r="AE51" s="244"/>
    </row>
    <row r="52" spans="2:31" ht="11.7" customHeight="1">
      <c r="B52" s="140"/>
      <c r="F52" s="153"/>
      <c r="G52" s="153"/>
      <c r="H52" s="153"/>
      <c r="I52" s="153"/>
      <c r="J52" s="234" t="s">
        <v>217</v>
      </c>
      <c r="K52" s="235"/>
      <c r="L52" s="234" t="s">
        <v>47</v>
      </c>
      <c r="M52" s="235"/>
      <c r="N52" s="234" t="s">
        <v>48</v>
      </c>
      <c r="O52" s="235"/>
      <c r="P52" s="143"/>
      <c r="W52" s="244"/>
      <c r="X52" s="244"/>
      <c r="Y52" s="244"/>
      <c r="Z52" s="244"/>
      <c r="AA52" s="244"/>
      <c r="AB52" s="244"/>
      <c r="AC52" s="244"/>
      <c r="AD52" s="244"/>
      <c r="AE52" s="244"/>
    </row>
    <row r="53" spans="2:31" ht="11.7" customHeight="1">
      <c r="B53" s="140"/>
      <c r="F53" s="153"/>
      <c r="G53" s="153"/>
      <c r="H53" s="153"/>
      <c r="I53" s="153"/>
      <c r="J53" s="236"/>
      <c r="K53" s="237"/>
      <c r="L53" s="236"/>
      <c r="M53" s="237"/>
      <c r="N53" s="236"/>
      <c r="O53" s="237"/>
      <c r="P53" s="143"/>
      <c r="W53" s="244"/>
      <c r="X53" s="244"/>
      <c r="Y53" s="244"/>
      <c r="Z53" s="244"/>
      <c r="AA53" s="244"/>
      <c r="AB53" s="244"/>
      <c r="AC53" s="244"/>
      <c r="AD53" s="244"/>
      <c r="AE53" s="244"/>
    </row>
    <row r="54" spans="2:31" ht="11.7" customHeight="1">
      <c r="B54" s="140"/>
      <c r="C54" s="240" t="s">
        <v>210</v>
      </c>
      <c r="D54" s="240"/>
      <c r="E54" s="240"/>
      <c r="F54" s="240"/>
      <c r="G54" s="240"/>
      <c r="H54" s="240"/>
      <c r="I54" s="154"/>
      <c r="J54" s="236"/>
      <c r="K54" s="237"/>
      <c r="L54" s="236"/>
      <c r="M54" s="237"/>
      <c r="N54" s="236"/>
      <c r="O54" s="237"/>
      <c r="P54" s="143"/>
      <c r="W54" s="244"/>
      <c r="X54" s="244"/>
      <c r="Y54" s="244"/>
      <c r="Z54" s="244"/>
      <c r="AA54" s="244"/>
      <c r="AB54" s="244"/>
      <c r="AC54" s="244"/>
      <c r="AD54" s="244"/>
      <c r="AE54" s="244"/>
    </row>
    <row r="55" spans="2:31" ht="11.7" customHeight="1">
      <c r="B55" s="140"/>
      <c r="C55" s="240"/>
      <c r="D55" s="240"/>
      <c r="E55" s="240"/>
      <c r="F55" s="240"/>
      <c r="G55" s="240"/>
      <c r="H55" s="240"/>
      <c r="I55" s="154"/>
      <c r="J55" s="238"/>
      <c r="K55" s="239"/>
      <c r="L55" s="238"/>
      <c r="M55" s="239"/>
      <c r="N55" s="238"/>
      <c r="O55" s="239"/>
      <c r="P55" s="143"/>
    </row>
    <row r="56" spans="2:31" ht="6" customHeight="1">
      <c r="B56" s="140"/>
      <c r="C56" s="167"/>
      <c r="D56" s="167"/>
      <c r="E56" s="167"/>
      <c r="F56" s="167"/>
      <c r="G56" s="167"/>
      <c r="H56" s="167"/>
      <c r="I56" s="154"/>
      <c r="J56" s="168"/>
      <c r="K56" s="168"/>
      <c r="L56" s="168"/>
      <c r="M56" s="168"/>
      <c r="N56" s="168"/>
      <c r="O56" s="168"/>
      <c r="P56" s="143"/>
    </row>
    <row r="57" spans="2:31" ht="12" customHeight="1" thickBot="1">
      <c r="B57" s="155"/>
      <c r="C57" s="156"/>
      <c r="D57" s="156"/>
      <c r="E57" s="156"/>
      <c r="F57" s="156"/>
      <c r="G57" s="156"/>
      <c r="H57" s="156"/>
      <c r="I57" s="156"/>
      <c r="J57" s="156"/>
      <c r="K57" s="156"/>
      <c r="L57" s="241" t="s">
        <v>209</v>
      </c>
      <c r="M57" s="241"/>
      <c r="N57" s="241"/>
      <c r="O57" s="241"/>
      <c r="P57" s="157"/>
    </row>
    <row r="58" spans="2:31" ht="13.5" customHeight="1">
      <c r="C58" s="138"/>
      <c r="D58" s="138"/>
      <c r="E58" s="138"/>
      <c r="F58" s="158" t="s">
        <v>211</v>
      </c>
      <c r="G58" s="138"/>
      <c r="H58" s="138"/>
      <c r="I58" s="138"/>
      <c r="J58" s="138"/>
      <c r="K58" s="138"/>
      <c r="L58" s="138"/>
      <c r="M58" s="138"/>
      <c r="N58" s="138"/>
      <c r="O58" s="159" t="s">
        <v>49</v>
      </c>
      <c r="P58" s="138"/>
    </row>
    <row r="59" spans="2:31" ht="13.5" customHeight="1"/>
    <row r="60" spans="2:31" ht="13.5" customHeight="1"/>
  </sheetData>
  <mergeCells count="106">
    <mergeCell ref="L57:O57"/>
    <mergeCell ref="J50:K50"/>
    <mergeCell ref="L50:M50"/>
    <mergeCell ref="N50:O50"/>
    <mergeCell ref="W50:Y54"/>
    <mergeCell ref="Z50:AB54"/>
    <mergeCell ref="AC50:AE54"/>
    <mergeCell ref="J51:K51"/>
    <mergeCell ref="L51:M51"/>
    <mergeCell ref="N51:O51"/>
    <mergeCell ref="J52:K55"/>
    <mergeCell ref="D47:E47"/>
    <mergeCell ref="F47:K47"/>
    <mergeCell ref="L47:M47"/>
    <mergeCell ref="N47:O47"/>
    <mergeCell ref="D48:E48"/>
    <mergeCell ref="F48:K48"/>
    <mergeCell ref="L48:M48"/>
    <mergeCell ref="N48:O48"/>
    <mergeCell ref="L52:M55"/>
    <mergeCell ref="N52:O55"/>
    <mergeCell ref="C54:H55"/>
    <mergeCell ref="D44:E44"/>
    <mergeCell ref="F44:K44"/>
    <mergeCell ref="L44:M44"/>
    <mergeCell ref="N44:O44"/>
    <mergeCell ref="D45:E45"/>
    <mergeCell ref="F45:K45"/>
    <mergeCell ref="L45:M45"/>
    <mergeCell ref="N45:O45"/>
    <mergeCell ref="D42:E42"/>
    <mergeCell ref="F42:K42"/>
    <mergeCell ref="L42:M42"/>
    <mergeCell ref="N42:O42"/>
    <mergeCell ref="D43:E43"/>
    <mergeCell ref="F43:K43"/>
    <mergeCell ref="L43:M43"/>
    <mergeCell ref="N43:O43"/>
    <mergeCell ref="D40:E40"/>
    <mergeCell ref="F40:K40"/>
    <mergeCell ref="L40:M40"/>
    <mergeCell ref="N40:O40"/>
    <mergeCell ref="D41:E41"/>
    <mergeCell ref="F41:K41"/>
    <mergeCell ref="L41:M41"/>
    <mergeCell ref="N41:O41"/>
    <mergeCell ref="D38:E38"/>
    <mergeCell ref="F38:K38"/>
    <mergeCell ref="L38:M38"/>
    <mergeCell ref="N38:O38"/>
    <mergeCell ref="D39:E39"/>
    <mergeCell ref="F39:K39"/>
    <mergeCell ref="L39:M39"/>
    <mergeCell ref="N39:O39"/>
    <mergeCell ref="D37:E37"/>
    <mergeCell ref="L37:M37"/>
    <mergeCell ref="N37:O37"/>
    <mergeCell ref="D35:E35"/>
    <mergeCell ref="F35:K35"/>
    <mergeCell ref="L35:M35"/>
    <mergeCell ref="N35:O35"/>
    <mergeCell ref="D36:E36"/>
    <mergeCell ref="F37:K37"/>
    <mergeCell ref="L36:M36"/>
    <mergeCell ref="N36:O36"/>
    <mergeCell ref="F36:K36"/>
    <mergeCell ref="D33:E33"/>
    <mergeCell ref="F33:K33"/>
    <mergeCell ref="L33:M33"/>
    <mergeCell ref="N33:O33"/>
    <mergeCell ref="D34:E34"/>
    <mergeCell ref="F34:K34"/>
    <mergeCell ref="L34:M34"/>
    <mergeCell ref="N34:O34"/>
    <mergeCell ref="C28:H28"/>
    <mergeCell ref="I28:O28"/>
    <mergeCell ref="C29:H29"/>
    <mergeCell ref="I29:O29"/>
    <mergeCell ref="D32:E32"/>
    <mergeCell ref="F32:K32"/>
    <mergeCell ref="L32:M32"/>
    <mergeCell ref="N32:O32"/>
    <mergeCell ref="C25:H25"/>
    <mergeCell ref="I25:O25"/>
    <mergeCell ref="C26:H26"/>
    <mergeCell ref="I26:O26"/>
    <mergeCell ref="C27:H27"/>
    <mergeCell ref="I27:O27"/>
    <mergeCell ref="C22:H22"/>
    <mergeCell ref="I22:O22"/>
    <mergeCell ref="C23:H23"/>
    <mergeCell ref="I23:O23"/>
    <mergeCell ref="C24:H24"/>
    <mergeCell ref="I24:O24"/>
    <mergeCell ref="E7:F7"/>
    <mergeCell ref="E8:F8"/>
    <mergeCell ref="E9:F9"/>
    <mergeCell ref="D11:N18"/>
    <mergeCell ref="C21:H21"/>
    <mergeCell ref="I21:O21"/>
    <mergeCell ref="E3:F3"/>
    <mergeCell ref="L3:O3"/>
    <mergeCell ref="E4:F4"/>
    <mergeCell ref="L4:O5"/>
    <mergeCell ref="E5:F5"/>
    <mergeCell ref="E6:F6"/>
  </mergeCells>
  <printOptions horizontalCentered="1"/>
  <pageMargins left="0.25" right="0.25" top="0.75" bottom="0.75" header="0.3" footer="0.3"/>
  <pageSetup paperSize="9" scale="99" orientation="portrait" horizontalDpi="240" verticalDpi="240" r:id="rId1"/>
  <headerFooter alignWithMargins="0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33"/>
  <sheetViews>
    <sheetView tabSelected="1" view="pageBreakPreview" topLeftCell="A7" zoomScaleNormal="85" zoomScaleSheetLayoutView="100" workbookViewId="0">
      <selection activeCell="K22" sqref="K22"/>
    </sheetView>
  </sheetViews>
  <sheetFormatPr defaultColWidth="9" defaultRowHeight="16.5" customHeight="1"/>
  <cols>
    <col min="1" max="1" width="1.44140625" style="1" customWidth="1"/>
    <col min="2" max="2" width="8.33203125" style="1" customWidth="1"/>
    <col min="3" max="3" width="16.44140625" style="1" customWidth="1"/>
    <col min="4" max="4" width="38" style="1" customWidth="1"/>
    <col min="5" max="5" width="3.33203125" style="1" customWidth="1"/>
    <col min="6" max="6" width="16.33203125" style="1" customWidth="1"/>
    <col min="7" max="7" width="7.44140625" style="1" customWidth="1"/>
    <col min="8" max="8" width="23.33203125" style="1" customWidth="1"/>
    <col min="9" max="9" width="12.44140625" style="1" customWidth="1"/>
    <col min="10" max="10" width="14.44140625" style="1" customWidth="1"/>
    <col min="11" max="11" width="40.88671875" style="1" customWidth="1"/>
    <col min="12" max="14" width="16.44140625" style="1" customWidth="1"/>
    <col min="15" max="15" width="1.44140625" style="1" customWidth="1"/>
    <col min="16" max="88" width="9" style="6"/>
    <col min="89" max="16384" width="9" style="7"/>
  </cols>
  <sheetData>
    <row r="1" spans="1:88" ht="16.5" customHeight="1">
      <c r="B1" s="249" t="s">
        <v>50</v>
      </c>
      <c r="C1" s="250"/>
      <c r="D1" s="251"/>
      <c r="E1" s="251"/>
      <c r="F1" s="252"/>
      <c r="G1" s="298" t="s">
        <v>51</v>
      </c>
      <c r="H1" s="293" t="s">
        <v>52</v>
      </c>
      <c r="I1" s="296" t="s">
        <v>53</v>
      </c>
      <c r="J1" s="297"/>
      <c r="K1" s="89" t="s">
        <v>215</v>
      </c>
      <c r="L1" s="2" t="s">
        <v>54</v>
      </c>
      <c r="M1" s="3" t="s">
        <v>55</v>
      </c>
      <c r="N1" s="4" t="s">
        <v>56</v>
      </c>
      <c r="O1" s="5"/>
    </row>
    <row r="2" spans="1:88" ht="16.5" customHeight="1">
      <c r="B2" s="253"/>
      <c r="C2" s="254"/>
      <c r="D2" s="254"/>
      <c r="E2" s="254"/>
      <c r="F2" s="255"/>
      <c r="G2" s="299"/>
      <c r="H2" s="294"/>
      <c r="I2" s="268" t="s">
        <v>56</v>
      </c>
      <c r="J2" s="269"/>
      <c r="K2" s="8" t="s">
        <v>57</v>
      </c>
      <c r="L2" s="270" t="s">
        <v>58</v>
      </c>
      <c r="M2" s="260" t="s">
        <v>59</v>
      </c>
      <c r="N2" s="265" t="s">
        <v>60</v>
      </c>
      <c r="O2" s="5"/>
    </row>
    <row r="3" spans="1:88" ht="16.5" customHeight="1" thickBot="1">
      <c r="B3" s="256"/>
      <c r="C3" s="257"/>
      <c r="D3" s="257"/>
      <c r="E3" s="257"/>
      <c r="F3" s="258"/>
      <c r="G3" s="300"/>
      <c r="H3" s="295"/>
      <c r="I3" s="268" t="s">
        <v>61</v>
      </c>
      <c r="J3" s="269"/>
      <c r="K3" s="181">
        <v>46262</v>
      </c>
      <c r="L3" s="271"/>
      <c r="M3" s="261"/>
      <c r="N3" s="266"/>
      <c r="O3" s="10"/>
    </row>
    <row r="4" spans="1:88" ht="16.5" customHeight="1">
      <c r="B4" s="274" t="s">
        <v>62</v>
      </c>
      <c r="C4" s="275"/>
      <c r="D4" s="275"/>
      <c r="E4" s="275"/>
      <c r="F4" s="275"/>
      <c r="G4" s="275"/>
      <c r="H4" s="276"/>
      <c r="I4" s="268" t="s">
        <v>63</v>
      </c>
      <c r="J4" s="269"/>
      <c r="K4" s="8" t="s">
        <v>64</v>
      </c>
      <c r="L4" s="271"/>
      <c r="M4" s="261"/>
      <c r="N4" s="266"/>
      <c r="O4" s="10"/>
    </row>
    <row r="5" spans="1:88" ht="16.5" customHeight="1" thickBot="1">
      <c r="B5" s="277"/>
      <c r="C5" s="278"/>
      <c r="D5" s="278"/>
      <c r="E5" s="278"/>
      <c r="F5" s="278"/>
      <c r="G5" s="278"/>
      <c r="H5" s="279"/>
      <c r="I5" s="291" t="s">
        <v>65</v>
      </c>
      <c r="J5" s="292"/>
      <c r="K5" s="11" t="s">
        <v>66</v>
      </c>
      <c r="L5" s="272"/>
      <c r="M5" s="262"/>
      <c r="N5" s="267"/>
      <c r="O5" s="10"/>
    </row>
    <row r="6" spans="1:88" ht="16.5" customHeight="1">
      <c r="I6" s="273"/>
      <c r="J6" s="273"/>
      <c r="K6" s="5"/>
      <c r="L6" s="10"/>
      <c r="M6" s="10"/>
      <c r="N6" s="5"/>
      <c r="O6" s="10"/>
    </row>
    <row r="7" spans="1:88" s="17" customFormat="1" ht="16.5" customHeight="1">
      <c r="A7" s="12"/>
      <c r="B7" s="13" t="s">
        <v>67</v>
      </c>
      <c r="C7" s="13"/>
      <c r="D7" s="14"/>
      <c r="E7" s="12"/>
      <c r="F7" s="13" t="s">
        <v>68</v>
      </c>
      <c r="G7" s="12"/>
      <c r="H7" s="14"/>
      <c r="I7" s="12"/>
      <c r="J7" s="12"/>
      <c r="K7" s="12"/>
      <c r="L7" s="12"/>
      <c r="M7" s="12"/>
      <c r="N7" s="15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</row>
    <row r="8" spans="1:88" ht="16.5" customHeight="1">
      <c r="B8" s="259" t="s">
        <v>69</v>
      </c>
      <c r="C8" s="259"/>
      <c r="D8" s="18" t="s">
        <v>70</v>
      </c>
      <c r="F8" s="19" t="s">
        <v>71</v>
      </c>
      <c r="G8" s="19" t="s">
        <v>72</v>
      </c>
      <c r="H8" s="19" t="s">
        <v>63</v>
      </c>
      <c r="I8" s="20" t="s">
        <v>73</v>
      </c>
      <c r="J8" s="87" t="s">
        <v>74</v>
      </c>
      <c r="K8" s="85" t="s">
        <v>75</v>
      </c>
      <c r="L8" s="19" t="s">
        <v>76</v>
      </c>
      <c r="M8" s="263" t="s">
        <v>77</v>
      </c>
      <c r="N8" s="264"/>
    </row>
    <row r="9" spans="1:88" ht="16.5" customHeight="1">
      <c r="B9" s="248" t="s">
        <v>78</v>
      </c>
      <c r="C9" s="248"/>
      <c r="D9" s="21" t="s">
        <v>94</v>
      </c>
      <c r="F9" s="174" t="s">
        <v>218</v>
      </c>
      <c r="G9" s="173">
        <v>3</v>
      </c>
      <c r="H9" s="25" t="s">
        <v>81</v>
      </c>
      <c r="I9" s="23" t="s">
        <v>79</v>
      </c>
      <c r="J9" s="173" t="s">
        <v>219</v>
      </c>
      <c r="K9" s="188" t="s">
        <v>220</v>
      </c>
      <c r="L9" s="173" t="s">
        <v>221</v>
      </c>
      <c r="M9" s="311" t="s">
        <v>222</v>
      </c>
      <c r="N9" s="312"/>
    </row>
    <row r="10" spans="1:88" ht="16.5" customHeight="1">
      <c r="B10" s="248" t="s">
        <v>201</v>
      </c>
      <c r="C10" s="248"/>
      <c r="D10" s="21" t="s">
        <v>94</v>
      </c>
      <c r="F10" s="174" t="s">
        <v>223</v>
      </c>
      <c r="G10" s="173">
        <v>5</v>
      </c>
      <c r="H10" s="25" t="s">
        <v>81</v>
      </c>
      <c r="I10" s="23" t="s">
        <v>79</v>
      </c>
      <c r="J10" s="173" t="s">
        <v>224</v>
      </c>
      <c r="K10" s="188" t="s">
        <v>225</v>
      </c>
      <c r="L10" s="173" t="s">
        <v>226</v>
      </c>
      <c r="M10" s="311" t="s">
        <v>227</v>
      </c>
      <c r="N10" s="312"/>
    </row>
    <row r="11" spans="1:88" ht="16.5" customHeight="1">
      <c r="B11" s="248" t="s">
        <v>80</v>
      </c>
      <c r="C11" s="248"/>
      <c r="D11" s="21" t="s">
        <v>94</v>
      </c>
      <c r="F11" s="174" t="s">
        <v>228</v>
      </c>
      <c r="G11" s="173">
        <v>2</v>
      </c>
      <c r="H11" s="25" t="s">
        <v>81</v>
      </c>
      <c r="I11" s="23" t="s">
        <v>79</v>
      </c>
      <c r="J11" s="173" t="s">
        <v>86</v>
      </c>
      <c r="K11" s="188" t="s">
        <v>229</v>
      </c>
      <c r="L11" s="173" t="s">
        <v>230</v>
      </c>
      <c r="M11" s="311" t="s">
        <v>231</v>
      </c>
      <c r="N11" s="312"/>
    </row>
    <row r="12" spans="1:88" ht="16.5" customHeight="1">
      <c r="B12" s="248" t="s">
        <v>83</v>
      </c>
      <c r="C12" s="248"/>
      <c r="D12" s="21" t="s">
        <v>94</v>
      </c>
      <c r="F12" s="174" t="s">
        <v>232</v>
      </c>
      <c r="G12" s="173">
        <v>3</v>
      </c>
      <c r="H12" s="25" t="s">
        <v>81</v>
      </c>
      <c r="I12" s="23" t="s">
        <v>79</v>
      </c>
      <c r="J12" s="173" t="s">
        <v>219</v>
      </c>
      <c r="K12" s="188" t="s">
        <v>233</v>
      </c>
      <c r="L12" s="173" t="s">
        <v>234</v>
      </c>
      <c r="M12" s="311" t="s">
        <v>235</v>
      </c>
      <c r="N12" s="312"/>
    </row>
    <row r="13" spans="1:88" ht="16.5" customHeight="1">
      <c r="B13" s="247" t="s">
        <v>85</v>
      </c>
      <c r="C13" s="247"/>
      <c r="D13" s="21" t="s">
        <v>94</v>
      </c>
      <c r="F13" s="174" t="s">
        <v>236</v>
      </c>
      <c r="G13" s="173">
        <v>4</v>
      </c>
      <c r="H13" s="25" t="s">
        <v>81</v>
      </c>
      <c r="I13" s="23" t="s">
        <v>79</v>
      </c>
      <c r="J13" s="173" t="s">
        <v>219</v>
      </c>
      <c r="K13" s="188" t="s">
        <v>237</v>
      </c>
      <c r="L13" s="173" t="s">
        <v>238</v>
      </c>
      <c r="M13" s="311" t="s">
        <v>239</v>
      </c>
      <c r="N13" s="312"/>
    </row>
    <row r="14" spans="1:88" ht="16.5" customHeight="1">
      <c r="B14" s="301" t="s">
        <v>87</v>
      </c>
      <c r="C14" s="24" t="s">
        <v>88</v>
      </c>
      <c r="D14" s="21" t="s">
        <v>94</v>
      </c>
      <c r="E14" s="5"/>
      <c r="F14" s="174" t="s">
        <v>240</v>
      </c>
      <c r="G14" s="173">
        <v>1</v>
      </c>
      <c r="H14" s="25" t="s">
        <v>81</v>
      </c>
      <c r="I14" s="23" t="s">
        <v>79</v>
      </c>
      <c r="J14" s="173" t="s">
        <v>224</v>
      </c>
      <c r="K14" s="188" t="s">
        <v>241</v>
      </c>
      <c r="L14" s="173" t="s">
        <v>242</v>
      </c>
      <c r="M14" s="311" t="s">
        <v>243</v>
      </c>
      <c r="N14" s="312"/>
    </row>
    <row r="15" spans="1:88" ht="16.5" customHeight="1">
      <c r="B15" s="302"/>
      <c r="C15" s="24" t="s">
        <v>89</v>
      </c>
      <c r="D15" s="21" t="s">
        <v>94</v>
      </c>
      <c r="E15" s="5"/>
      <c r="F15" s="174" t="s">
        <v>244</v>
      </c>
      <c r="G15" s="173">
        <v>1</v>
      </c>
      <c r="H15" s="25" t="s">
        <v>81</v>
      </c>
      <c r="I15" s="23" t="s">
        <v>79</v>
      </c>
      <c r="J15" s="173" t="s">
        <v>219</v>
      </c>
      <c r="K15" s="188" t="s">
        <v>245</v>
      </c>
      <c r="L15" s="173" t="s">
        <v>246</v>
      </c>
      <c r="M15" s="311" t="s">
        <v>247</v>
      </c>
      <c r="N15" s="312"/>
    </row>
    <row r="16" spans="1:88" ht="16.5" customHeight="1">
      <c r="B16" s="303"/>
      <c r="C16" s="24" t="s">
        <v>92</v>
      </c>
      <c r="D16" s="21" t="s">
        <v>94</v>
      </c>
      <c r="E16" s="5"/>
      <c r="F16" s="174" t="s">
        <v>248</v>
      </c>
      <c r="G16" s="173">
        <v>1</v>
      </c>
      <c r="H16" s="25" t="s">
        <v>81</v>
      </c>
      <c r="I16" s="23" t="s">
        <v>79</v>
      </c>
      <c r="J16" s="173" t="s">
        <v>219</v>
      </c>
      <c r="K16" s="188" t="s">
        <v>249</v>
      </c>
      <c r="L16" s="173" t="s">
        <v>250</v>
      </c>
      <c r="M16" s="311" t="s">
        <v>251</v>
      </c>
      <c r="N16" s="312"/>
    </row>
    <row r="17" spans="2:14" ht="16.5" customHeight="1">
      <c r="B17" s="247" t="s">
        <v>93</v>
      </c>
      <c r="C17" s="247"/>
      <c r="D17" s="21" t="s">
        <v>94</v>
      </c>
      <c r="E17" s="5"/>
      <c r="F17" s="174" t="s">
        <v>252</v>
      </c>
      <c r="G17" s="173">
        <v>1</v>
      </c>
      <c r="H17" s="25" t="s">
        <v>253</v>
      </c>
      <c r="I17" s="23" t="s">
        <v>79</v>
      </c>
      <c r="J17" s="173" t="s">
        <v>254</v>
      </c>
      <c r="K17" s="188" t="s">
        <v>255</v>
      </c>
      <c r="L17" s="173" t="s">
        <v>94</v>
      </c>
      <c r="M17" s="311" t="s">
        <v>256</v>
      </c>
      <c r="N17" s="312"/>
    </row>
    <row r="18" spans="2:14" ht="16.5" customHeight="1">
      <c r="B18" s="86"/>
      <c r="C18" s="86"/>
      <c r="D18" s="5"/>
      <c r="E18" s="5"/>
      <c r="F18" s="174" t="s">
        <v>257</v>
      </c>
      <c r="G18" s="173">
        <v>1</v>
      </c>
      <c r="H18" s="25" t="s">
        <v>258</v>
      </c>
      <c r="I18" s="23" t="s">
        <v>79</v>
      </c>
      <c r="J18" s="173" t="s">
        <v>259</v>
      </c>
      <c r="K18" s="188" t="s">
        <v>260</v>
      </c>
      <c r="L18" s="173" t="s">
        <v>261</v>
      </c>
      <c r="M18" s="311" t="s">
        <v>262</v>
      </c>
      <c r="N18" s="312"/>
    </row>
    <row r="19" spans="2:14" ht="16.5" customHeight="1">
      <c r="B19" s="259" t="s">
        <v>69</v>
      </c>
      <c r="C19" s="259"/>
      <c r="D19" s="18" t="s">
        <v>70</v>
      </c>
      <c r="E19" s="5"/>
      <c r="F19" s="174" t="s">
        <v>263</v>
      </c>
      <c r="G19" s="173">
        <v>1</v>
      </c>
      <c r="H19" s="25" t="s">
        <v>258</v>
      </c>
      <c r="I19" s="23" t="s">
        <v>79</v>
      </c>
      <c r="J19" s="173" t="s">
        <v>259</v>
      </c>
      <c r="K19" s="188" t="s">
        <v>264</v>
      </c>
      <c r="L19" s="173" t="s">
        <v>265</v>
      </c>
      <c r="M19" s="311" t="s">
        <v>266</v>
      </c>
      <c r="N19" s="312"/>
    </row>
    <row r="20" spans="2:14" ht="16.5" customHeight="1">
      <c r="B20" s="248" t="s">
        <v>78</v>
      </c>
      <c r="C20" s="248"/>
      <c r="D20" s="21" t="s">
        <v>94</v>
      </c>
      <c r="E20" s="5"/>
      <c r="F20" s="174" t="s">
        <v>267</v>
      </c>
      <c r="G20" s="173">
        <v>1</v>
      </c>
      <c r="H20" s="25" t="s">
        <v>268</v>
      </c>
      <c r="I20" s="23" t="s">
        <v>79</v>
      </c>
      <c r="J20" s="173" t="s">
        <v>224</v>
      </c>
      <c r="K20" s="188" t="s">
        <v>269</v>
      </c>
      <c r="L20" s="173" t="s">
        <v>270</v>
      </c>
      <c r="M20" s="311" t="s">
        <v>271</v>
      </c>
      <c r="N20" s="312"/>
    </row>
    <row r="21" spans="2:14" ht="16.5" customHeight="1">
      <c r="B21" s="248" t="s">
        <v>201</v>
      </c>
      <c r="C21" s="248"/>
      <c r="D21" s="88" t="s">
        <v>94</v>
      </c>
      <c r="E21" s="5"/>
      <c r="F21" s="174" t="s">
        <v>272</v>
      </c>
      <c r="G21" s="173">
        <v>1</v>
      </c>
      <c r="H21" s="25" t="s">
        <v>91</v>
      </c>
      <c r="I21" s="23" t="s">
        <v>79</v>
      </c>
      <c r="J21" s="173" t="s">
        <v>273</v>
      </c>
      <c r="K21" s="188" t="s">
        <v>274</v>
      </c>
      <c r="L21" s="173" t="s">
        <v>275</v>
      </c>
      <c r="M21" s="311" t="s">
        <v>345</v>
      </c>
      <c r="N21" s="312"/>
    </row>
    <row r="22" spans="2:14" ht="16.5" customHeight="1">
      <c r="B22" s="248" t="s">
        <v>80</v>
      </c>
      <c r="C22" s="248"/>
      <c r="D22" s="88" t="s">
        <v>94</v>
      </c>
      <c r="E22" s="5"/>
      <c r="F22" s="174" t="s">
        <v>276</v>
      </c>
      <c r="G22" s="173">
        <v>1</v>
      </c>
      <c r="H22" s="25" t="s">
        <v>91</v>
      </c>
      <c r="I22" s="23" t="s">
        <v>79</v>
      </c>
      <c r="J22" s="173" t="s">
        <v>273</v>
      </c>
      <c r="K22" s="188" t="s">
        <v>277</v>
      </c>
      <c r="L22" s="173" t="s">
        <v>278</v>
      </c>
      <c r="M22" s="311" t="s">
        <v>279</v>
      </c>
      <c r="N22" s="312"/>
    </row>
    <row r="23" spans="2:14" ht="16.5" customHeight="1">
      <c r="B23" s="248" t="s">
        <v>83</v>
      </c>
      <c r="C23" s="248"/>
      <c r="D23" s="169" t="s">
        <v>94</v>
      </c>
      <c r="E23" s="5"/>
      <c r="F23" s="174" t="s">
        <v>280</v>
      </c>
      <c r="G23" s="173">
        <v>1</v>
      </c>
      <c r="H23" s="25" t="s">
        <v>91</v>
      </c>
      <c r="I23" s="23" t="s">
        <v>79</v>
      </c>
      <c r="J23" s="173" t="s">
        <v>281</v>
      </c>
      <c r="K23" s="188" t="s">
        <v>282</v>
      </c>
      <c r="L23" s="173" t="s">
        <v>283</v>
      </c>
      <c r="M23" s="311" t="s">
        <v>284</v>
      </c>
      <c r="N23" s="312"/>
    </row>
    <row r="24" spans="2:14" ht="16.5" customHeight="1">
      <c r="B24" s="247" t="s">
        <v>85</v>
      </c>
      <c r="C24" s="247"/>
      <c r="D24" s="21" t="s">
        <v>94</v>
      </c>
      <c r="E24" s="5"/>
      <c r="F24" s="174" t="s">
        <v>285</v>
      </c>
      <c r="G24" s="173">
        <v>1</v>
      </c>
      <c r="H24" s="25" t="s">
        <v>91</v>
      </c>
      <c r="I24" s="23" t="s">
        <v>79</v>
      </c>
      <c r="J24" s="173" t="s">
        <v>84</v>
      </c>
      <c r="K24" s="188" t="s">
        <v>286</v>
      </c>
      <c r="L24" s="173" t="s">
        <v>287</v>
      </c>
      <c r="M24" s="311" t="s">
        <v>279</v>
      </c>
      <c r="N24" s="312"/>
    </row>
    <row r="25" spans="2:14" ht="16.5" customHeight="1">
      <c r="B25" s="247" t="s">
        <v>87</v>
      </c>
      <c r="C25" s="24" t="s">
        <v>88</v>
      </c>
      <c r="D25" s="88" t="s">
        <v>94</v>
      </c>
      <c r="E25" s="5"/>
      <c r="F25" s="174" t="s">
        <v>90</v>
      </c>
      <c r="G25" s="173">
        <v>1</v>
      </c>
      <c r="H25" s="25" t="s">
        <v>91</v>
      </c>
      <c r="I25" s="23" t="s">
        <v>79</v>
      </c>
      <c r="J25" s="173" t="s">
        <v>288</v>
      </c>
      <c r="K25" s="188" t="s">
        <v>288</v>
      </c>
      <c r="L25" s="173" t="s">
        <v>289</v>
      </c>
      <c r="M25" s="311" t="s">
        <v>290</v>
      </c>
      <c r="N25" s="312"/>
    </row>
    <row r="26" spans="2:14" ht="16.5" customHeight="1">
      <c r="B26" s="248"/>
      <c r="C26" s="24" t="s">
        <v>89</v>
      </c>
      <c r="D26" s="88" t="s">
        <v>94</v>
      </c>
      <c r="E26" s="5"/>
      <c r="F26" s="174" t="s">
        <v>291</v>
      </c>
      <c r="G26" s="173">
        <v>2</v>
      </c>
      <c r="H26" s="25" t="s">
        <v>91</v>
      </c>
      <c r="I26" s="23" t="s">
        <v>79</v>
      </c>
      <c r="J26" s="173" t="s">
        <v>292</v>
      </c>
      <c r="K26" s="188" t="s">
        <v>293</v>
      </c>
      <c r="L26" s="173" t="s">
        <v>294</v>
      </c>
      <c r="M26" s="311" t="s">
        <v>295</v>
      </c>
      <c r="N26" s="312"/>
    </row>
    <row r="27" spans="2:14" ht="16.5" customHeight="1">
      <c r="B27" s="248"/>
      <c r="C27" s="24" t="s">
        <v>96</v>
      </c>
      <c r="D27" s="88" t="s">
        <v>94</v>
      </c>
      <c r="E27" s="5"/>
      <c r="F27" s="174" t="s">
        <v>296</v>
      </c>
      <c r="G27" s="173">
        <v>1</v>
      </c>
      <c r="H27" s="25" t="s">
        <v>91</v>
      </c>
      <c r="I27" s="23" t="s">
        <v>79</v>
      </c>
      <c r="J27" s="173" t="s">
        <v>82</v>
      </c>
      <c r="K27" s="188" t="s">
        <v>297</v>
      </c>
      <c r="L27" s="173" t="s">
        <v>298</v>
      </c>
      <c r="M27" s="311" t="s">
        <v>279</v>
      </c>
      <c r="N27" s="312"/>
    </row>
    <row r="28" spans="2:14" ht="16.5" customHeight="1">
      <c r="B28" s="247" t="s">
        <v>93</v>
      </c>
      <c r="C28" s="247"/>
      <c r="D28" s="21" t="s">
        <v>94</v>
      </c>
      <c r="E28" s="5"/>
      <c r="F28" s="174" t="s">
        <v>299</v>
      </c>
      <c r="G28" s="173">
        <v>1</v>
      </c>
      <c r="H28" s="25" t="s">
        <v>91</v>
      </c>
      <c r="I28" s="23" t="s">
        <v>79</v>
      </c>
      <c r="J28" s="173" t="s">
        <v>82</v>
      </c>
      <c r="K28" s="188" t="s">
        <v>300</v>
      </c>
      <c r="L28" s="173" t="s">
        <v>301</v>
      </c>
      <c r="M28" s="311" t="s">
        <v>279</v>
      </c>
      <c r="N28" s="312"/>
    </row>
    <row r="29" spans="2:14" ht="16.5" customHeight="1">
      <c r="B29" s="114"/>
      <c r="C29" s="114"/>
      <c r="D29" s="5"/>
      <c r="E29" s="5"/>
      <c r="F29" s="174" t="s">
        <v>302</v>
      </c>
      <c r="G29" s="173">
        <v>1</v>
      </c>
      <c r="H29" s="25" t="s">
        <v>91</v>
      </c>
      <c r="I29" s="23" t="s">
        <v>79</v>
      </c>
      <c r="J29" s="173" t="s">
        <v>292</v>
      </c>
      <c r="K29" s="188" t="s">
        <v>303</v>
      </c>
      <c r="L29" s="173" t="s">
        <v>304</v>
      </c>
      <c r="M29" s="311" t="s">
        <v>279</v>
      </c>
      <c r="N29" s="312"/>
    </row>
    <row r="30" spans="2:14" ht="16.5" customHeight="1">
      <c r="B30" s="259" t="s">
        <v>69</v>
      </c>
      <c r="C30" s="259"/>
      <c r="D30" s="18" t="s">
        <v>70</v>
      </c>
      <c r="E30" s="5"/>
      <c r="F30" s="174" t="s">
        <v>305</v>
      </c>
      <c r="G30" s="173">
        <v>1</v>
      </c>
      <c r="H30" s="25" t="s">
        <v>91</v>
      </c>
      <c r="I30" s="23" t="s">
        <v>79</v>
      </c>
      <c r="J30" s="173" t="s">
        <v>84</v>
      </c>
      <c r="K30" s="188" t="s">
        <v>306</v>
      </c>
      <c r="L30" s="173" t="s">
        <v>307</v>
      </c>
      <c r="M30" s="311" t="s">
        <v>279</v>
      </c>
      <c r="N30" s="312"/>
    </row>
    <row r="31" spans="2:14" ht="16.5" customHeight="1">
      <c r="B31" s="248" t="s">
        <v>78</v>
      </c>
      <c r="C31" s="248"/>
      <c r="D31" s="21" t="s">
        <v>94</v>
      </c>
      <c r="E31" s="5"/>
      <c r="F31" s="174" t="s">
        <v>308</v>
      </c>
      <c r="G31" s="173">
        <v>1</v>
      </c>
      <c r="H31" s="25" t="s">
        <v>309</v>
      </c>
      <c r="I31" s="23" t="s">
        <v>79</v>
      </c>
      <c r="J31" s="173" t="s">
        <v>310</v>
      </c>
      <c r="K31" s="188" t="s">
        <v>311</v>
      </c>
      <c r="L31" s="173" t="s">
        <v>94</v>
      </c>
      <c r="M31" s="311" t="s">
        <v>312</v>
      </c>
      <c r="N31" s="312"/>
    </row>
    <row r="32" spans="2:14" ht="16.5" customHeight="1">
      <c r="B32" s="248" t="s">
        <v>201</v>
      </c>
      <c r="C32" s="248"/>
      <c r="D32" s="88" t="s">
        <v>94</v>
      </c>
      <c r="E32" s="5"/>
      <c r="F32" s="174" t="s">
        <v>313</v>
      </c>
      <c r="G32" s="173">
        <v>1</v>
      </c>
      <c r="H32" s="25" t="s">
        <v>314</v>
      </c>
      <c r="I32" s="23" t="s">
        <v>79</v>
      </c>
      <c r="J32" s="173" t="s">
        <v>84</v>
      </c>
      <c r="K32" s="188" t="s">
        <v>315</v>
      </c>
      <c r="L32" s="173" t="s">
        <v>316</v>
      </c>
      <c r="M32" s="311" t="s">
        <v>317</v>
      </c>
      <c r="N32" s="312"/>
    </row>
    <row r="33" spans="2:14" ht="16.5" customHeight="1">
      <c r="B33" s="248" t="s">
        <v>80</v>
      </c>
      <c r="C33" s="248"/>
      <c r="D33" s="88" t="s">
        <v>94</v>
      </c>
      <c r="E33" s="5"/>
      <c r="F33" s="174" t="s">
        <v>318</v>
      </c>
      <c r="G33" s="173">
        <v>1</v>
      </c>
      <c r="H33" s="25" t="s">
        <v>319</v>
      </c>
      <c r="I33" s="23" t="s">
        <v>79</v>
      </c>
      <c r="J33" s="173" t="s">
        <v>320</v>
      </c>
      <c r="K33" s="188" t="s">
        <v>321</v>
      </c>
      <c r="L33" s="173" t="s">
        <v>322</v>
      </c>
      <c r="M33" s="311" t="s">
        <v>323</v>
      </c>
      <c r="N33" s="312"/>
    </row>
    <row r="34" spans="2:14" ht="16.5" customHeight="1">
      <c r="B34" s="248" t="s">
        <v>83</v>
      </c>
      <c r="C34" s="248"/>
      <c r="D34" s="169" t="s">
        <v>94</v>
      </c>
      <c r="E34" s="5"/>
      <c r="F34" s="174" t="s">
        <v>324</v>
      </c>
      <c r="G34" s="173">
        <v>1</v>
      </c>
      <c r="H34" s="25" t="s">
        <v>325</v>
      </c>
      <c r="I34" s="23" t="s">
        <v>79</v>
      </c>
      <c r="J34" s="173" t="s">
        <v>326</v>
      </c>
      <c r="K34" s="188" t="s">
        <v>327</v>
      </c>
      <c r="L34" s="173" t="s">
        <v>328</v>
      </c>
      <c r="M34" s="311" t="s">
        <v>329</v>
      </c>
      <c r="N34" s="312"/>
    </row>
    <row r="35" spans="2:14" ht="16.5" customHeight="1">
      <c r="B35" s="247" t="s">
        <v>85</v>
      </c>
      <c r="C35" s="247"/>
      <c r="D35" s="21" t="s">
        <v>94</v>
      </c>
      <c r="E35" s="5"/>
      <c r="F35" s="174"/>
      <c r="G35" s="173"/>
      <c r="H35" s="25"/>
      <c r="I35" s="23"/>
      <c r="J35" s="173"/>
      <c r="K35" s="188"/>
      <c r="L35" s="173"/>
      <c r="M35" s="311"/>
      <c r="N35" s="312"/>
    </row>
    <row r="36" spans="2:14" ht="16.5" customHeight="1">
      <c r="B36" s="247" t="s">
        <v>87</v>
      </c>
      <c r="C36" s="24" t="s">
        <v>88</v>
      </c>
      <c r="D36" s="88" t="s">
        <v>94</v>
      </c>
      <c r="E36" s="5"/>
      <c r="F36" s="174"/>
      <c r="G36" s="173"/>
      <c r="H36" s="25"/>
      <c r="I36" s="23"/>
      <c r="J36" s="173"/>
      <c r="K36" s="188"/>
      <c r="L36" s="173"/>
      <c r="M36" s="311"/>
      <c r="N36" s="312"/>
    </row>
    <row r="37" spans="2:14" ht="16.5" customHeight="1">
      <c r="B37" s="248"/>
      <c r="C37" s="24" t="s">
        <v>89</v>
      </c>
      <c r="D37" s="88" t="s">
        <v>94</v>
      </c>
      <c r="E37" s="5"/>
      <c r="F37" s="174"/>
      <c r="G37" s="173"/>
      <c r="H37" s="25"/>
      <c r="I37" s="23"/>
      <c r="J37" s="173"/>
      <c r="K37" s="188"/>
      <c r="L37" s="173"/>
      <c r="M37" s="311"/>
      <c r="N37" s="312"/>
    </row>
    <row r="38" spans="2:14" ht="16.5" customHeight="1">
      <c r="B38" s="248"/>
      <c r="C38" s="24" t="s">
        <v>96</v>
      </c>
      <c r="D38" s="88" t="s">
        <v>94</v>
      </c>
      <c r="E38" s="5"/>
      <c r="F38" s="174"/>
      <c r="G38" s="173"/>
      <c r="H38" s="25"/>
      <c r="I38" s="23"/>
      <c r="J38" s="173"/>
      <c r="K38" s="188"/>
      <c r="L38" s="173"/>
      <c r="M38" s="311"/>
      <c r="N38" s="312"/>
    </row>
    <row r="39" spans="2:14" ht="16.5" customHeight="1">
      <c r="B39" s="247" t="s">
        <v>93</v>
      </c>
      <c r="C39" s="247"/>
      <c r="D39" s="21" t="s">
        <v>94</v>
      </c>
      <c r="E39" s="5"/>
      <c r="F39" s="174"/>
      <c r="G39" s="173"/>
      <c r="H39" s="25"/>
      <c r="I39" s="23"/>
      <c r="J39" s="173"/>
      <c r="K39" s="188"/>
      <c r="L39" s="173"/>
      <c r="M39" s="311"/>
      <c r="N39" s="312"/>
    </row>
    <row r="40" spans="2:14" ht="16.5" customHeight="1">
      <c r="B40" s="114"/>
      <c r="C40" s="92"/>
      <c r="D40" s="5"/>
      <c r="E40" s="5"/>
      <c r="F40" s="174"/>
      <c r="G40" s="173"/>
      <c r="H40" s="25"/>
      <c r="I40" s="23"/>
      <c r="J40" s="173"/>
      <c r="K40" s="188"/>
      <c r="L40" s="173"/>
      <c r="M40" s="311"/>
      <c r="N40" s="312"/>
    </row>
    <row r="41" spans="2:14" ht="16.5" customHeight="1">
      <c r="B41" s="112"/>
      <c r="C41" s="112"/>
      <c r="D41" s="111"/>
      <c r="E41" s="5"/>
      <c r="F41" s="174"/>
      <c r="G41" s="173"/>
      <c r="H41" s="25"/>
      <c r="I41" s="23"/>
      <c r="J41" s="173"/>
      <c r="K41" s="188"/>
      <c r="L41" s="173"/>
      <c r="M41" s="311"/>
      <c r="N41" s="312"/>
    </row>
    <row r="42" spans="2:14" ht="16.5" customHeight="1">
      <c r="B42" s="13" t="s">
        <v>97</v>
      </c>
      <c r="C42" s="92"/>
      <c r="D42" s="5"/>
      <c r="E42" s="5"/>
      <c r="F42" s="174"/>
      <c r="G42" s="173"/>
      <c r="H42" s="25"/>
      <c r="I42" s="23"/>
      <c r="J42" s="173"/>
      <c r="K42" s="188"/>
      <c r="L42" s="173"/>
      <c r="M42" s="311"/>
      <c r="N42" s="312"/>
    </row>
    <row r="43" spans="2:14" ht="16.5" customHeight="1">
      <c r="B43" s="309" t="s">
        <v>69</v>
      </c>
      <c r="C43" s="264"/>
      <c r="D43" s="18" t="s">
        <v>70</v>
      </c>
      <c r="E43" s="5"/>
      <c r="F43" s="174"/>
      <c r="G43" s="173"/>
      <c r="H43" s="25"/>
      <c r="I43" s="23"/>
      <c r="J43" s="173"/>
      <c r="K43" s="188"/>
      <c r="L43" s="173"/>
      <c r="M43" s="311"/>
      <c r="N43" s="312"/>
    </row>
    <row r="44" spans="2:14" ht="16.5" customHeight="1">
      <c r="B44" s="247" t="s">
        <v>98</v>
      </c>
      <c r="C44" s="94" t="s">
        <v>99</v>
      </c>
      <c r="D44" s="21" t="s">
        <v>331</v>
      </c>
      <c r="E44" s="5"/>
      <c r="F44" s="174"/>
      <c r="G44" s="173"/>
      <c r="H44" s="25"/>
      <c r="I44" s="23"/>
      <c r="J44" s="173"/>
      <c r="K44" s="188"/>
      <c r="L44" s="173"/>
      <c r="M44" s="311"/>
      <c r="N44" s="312"/>
    </row>
    <row r="45" spans="2:14" ht="16.5" customHeight="1">
      <c r="B45" s="247"/>
      <c r="C45" s="94" t="s">
        <v>332</v>
      </c>
      <c r="D45" s="21" t="s">
        <v>333</v>
      </c>
      <c r="E45" s="5"/>
      <c r="F45" s="174"/>
      <c r="G45" s="173"/>
      <c r="H45" s="25"/>
      <c r="I45" s="23"/>
      <c r="J45" s="173"/>
      <c r="K45" s="188"/>
      <c r="L45" s="173"/>
      <c r="M45" s="311"/>
      <c r="N45" s="312"/>
    </row>
    <row r="46" spans="2:14" ht="16.5" customHeight="1">
      <c r="B46" s="310" t="s">
        <v>201</v>
      </c>
      <c r="C46" s="310"/>
      <c r="D46" s="27" t="s">
        <v>334</v>
      </c>
      <c r="E46" s="5"/>
      <c r="F46" s="174"/>
      <c r="G46" s="173"/>
      <c r="H46" s="25"/>
      <c r="I46" s="23"/>
      <c r="J46" s="173"/>
      <c r="K46" s="188"/>
      <c r="L46" s="173"/>
      <c r="M46" s="311"/>
      <c r="N46" s="312"/>
    </row>
    <row r="47" spans="2:14" ht="16.5" customHeight="1">
      <c r="B47" s="245" t="s">
        <v>100</v>
      </c>
      <c r="C47" s="246"/>
      <c r="D47" s="21" t="s">
        <v>335</v>
      </c>
      <c r="E47" s="5"/>
      <c r="F47" s="174"/>
      <c r="G47" s="173"/>
      <c r="H47" s="25"/>
      <c r="I47" s="23"/>
      <c r="J47" s="173"/>
      <c r="K47" s="188"/>
      <c r="L47" s="173"/>
      <c r="M47" s="311"/>
      <c r="N47" s="312"/>
    </row>
    <row r="48" spans="2:14" ht="16.5" customHeight="1">
      <c r="B48" s="245" t="s">
        <v>101</v>
      </c>
      <c r="C48" s="246"/>
      <c r="D48" s="21" t="s">
        <v>336</v>
      </c>
      <c r="E48" s="5"/>
      <c r="F48" s="13" t="s">
        <v>102</v>
      </c>
      <c r="K48" s="13" t="s">
        <v>103</v>
      </c>
    </row>
    <row r="49" spans="2:14" ht="16.5" customHeight="1">
      <c r="B49" s="281" t="s">
        <v>204</v>
      </c>
      <c r="C49" s="282"/>
      <c r="D49" s="21" t="s">
        <v>337</v>
      </c>
      <c r="F49" s="28"/>
      <c r="G49" s="29"/>
      <c r="H49" s="29"/>
      <c r="I49" s="29"/>
      <c r="J49" s="30"/>
      <c r="K49" s="28"/>
      <c r="L49" s="31"/>
      <c r="M49" s="32"/>
      <c r="N49" s="33"/>
    </row>
    <row r="50" spans="2:14" ht="16.5" customHeight="1">
      <c r="B50" s="281" t="s">
        <v>104</v>
      </c>
      <c r="C50" s="282"/>
      <c r="D50" s="21" t="s">
        <v>338</v>
      </c>
      <c r="F50" s="34" t="s">
        <v>213</v>
      </c>
      <c r="I50" s="35"/>
      <c r="J50" s="36"/>
      <c r="K50" s="37" t="s">
        <v>212</v>
      </c>
      <c r="L50" s="38"/>
      <c r="M50" s="39"/>
      <c r="N50" s="40"/>
    </row>
    <row r="51" spans="2:14" ht="16.5" customHeight="1">
      <c r="B51" s="247" t="s">
        <v>105</v>
      </c>
      <c r="C51" s="94" t="s">
        <v>99</v>
      </c>
      <c r="D51" s="21" t="s">
        <v>331</v>
      </c>
      <c r="F51" s="37" t="s">
        <v>106</v>
      </c>
      <c r="G51" s="38"/>
      <c r="H51" s="38"/>
      <c r="I51" s="35"/>
      <c r="J51" s="36"/>
      <c r="K51" s="41" t="s">
        <v>107</v>
      </c>
      <c r="L51" s="39"/>
      <c r="M51" s="39"/>
      <c r="N51" s="40"/>
    </row>
    <row r="52" spans="2:14" ht="16.5" customHeight="1">
      <c r="B52" s="248"/>
      <c r="C52" s="94" t="s">
        <v>108</v>
      </c>
      <c r="D52" s="177" t="s">
        <v>330</v>
      </c>
      <c r="F52" s="34" t="s">
        <v>109</v>
      </c>
      <c r="G52" s="38"/>
      <c r="H52" s="38"/>
      <c r="I52" s="35"/>
      <c r="J52" s="36"/>
      <c r="K52" s="37" t="s">
        <v>110</v>
      </c>
      <c r="L52" s="39"/>
      <c r="M52" s="39"/>
      <c r="N52" s="40"/>
    </row>
    <row r="53" spans="2:14" ht="16.5" customHeight="1">
      <c r="B53" s="247" t="s">
        <v>111</v>
      </c>
      <c r="C53" s="94" t="s">
        <v>99</v>
      </c>
      <c r="D53" s="21" t="s">
        <v>331</v>
      </c>
      <c r="F53" s="34"/>
      <c r="H53" s="38"/>
      <c r="I53" s="35"/>
      <c r="J53" s="36"/>
      <c r="K53" s="37" t="s">
        <v>112</v>
      </c>
      <c r="L53" s="39"/>
      <c r="M53" s="39"/>
      <c r="N53" s="40"/>
    </row>
    <row r="54" spans="2:14" ht="16.5" customHeight="1">
      <c r="B54" s="247"/>
      <c r="C54" s="94" t="s">
        <v>108</v>
      </c>
      <c r="D54" s="177" t="s">
        <v>113</v>
      </c>
      <c r="F54" s="34"/>
      <c r="H54" s="38"/>
      <c r="I54" s="35"/>
      <c r="J54" s="36"/>
      <c r="K54" s="184" t="s">
        <v>341</v>
      </c>
      <c r="L54" s="39"/>
      <c r="M54" s="42"/>
      <c r="N54" s="36"/>
    </row>
    <row r="55" spans="2:14" ht="16.5" customHeight="1">
      <c r="B55" s="245" t="s">
        <v>114</v>
      </c>
      <c r="C55" s="246"/>
      <c r="D55" s="21" t="s">
        <v>339</v>
      </c>
      <c r="F55" s="34"/>
      <c r="H55" s="39"/>
      <c r="I55" s="35"/>
      <c r="J55" s="36"/>
      <c r="K55" s="183" t="s">
        <v>342</v>
      </c>
      <c r="L55" s="39"/>
      <c r="M55" s="43"/>
      <c r="N55" s="36"/>
    </row>
    <row r="56" spans="2:14" ht="16.5" customHeight="1">
      <c r="B56" s="283" t="s">
        <v>340</v>
      </c>
      <c r="C56" s="284"/>
      <c r="D56" s="313"/>
      <c r="F56" s="34"/>
      <c r="H56" s="39"/>
      <c r="I56" s="35"/>
      <c r="J56" s="36"/>
      <c r="K56" s="184" t="s">
        <v>344</v>
      </c>
      <c r="L56" s="39"/>
      <c r="M56" s="43"/>
      <c r="N56" s="36"/>
    </row>
    <row r="57" spans="2:14" ht="16.5" customHeight="1">
      <c r="B57" s="285"/>
      <c r="C57" s="286"/>
      <c r="D57" s="314"/>
      <c r="F57" s="34"/>
      <c r="H57" s="39"/>
      <c r="I57" s="38"/>
      <c r="J57" s="36"/>
      <c r="K57" s="41"/>
      <c r="M57" s="43"/>
      <c r="N57" s="36"/>
    </row>
    <row r="58" spans="2:14" ht="16.5" customHeight="1">
      <c r="B58" s="287"/>
      <c r="C58" s="288"/>
      <c r="D58" s="315"/>
      <c r="F58" s="34"/>
      <c r="H58" s="39"/>
      <c r="I58" s="38"/>
      <c r="J58" s="36"/>
      <c r="K58" s="41"/>
      <c r="M58" s="43"/>
      <c r="N58" s="36"/>
    </row>
    <row r="59" spans="2:14" ht="16.5" customHeight="1">
      <c r="B59" s="289"/>
      <c r="C59" s="290"/>
      <c r="D59" s="316"/>
      <c r="F59" s="34"/>
      <c r="H59" s="39"/>
      <c r="I59" s="38"/>
      <c r="J59" s="36"/>
      <c r="K59" s="41" t="s">
        <v>115</v>
      </c>
      <c r="M59" s="43"/>
      <c r="N59" s="36"/>
    </row>
    <row r="60" spans="2:14" ht="16.5" customHeight="1">
      <c r="B60" s="92"/>
      <c r="C60" s="92"/>
      <c r="D60" s="5"/>
      <c r="F60" s="34"/>
      <c r="H60" s="39"/>
      <c r="I60" s="38"/>
      <c r="J60" s="36"/>
      <c r="K60" s="41" t="s">
        <v>116</v>
      </c>
      <c r="L60" s="38"/>
      <c r="M60" s="43"/>
      <c r="N60" s="36"/>
    </row>
    <row r="61" spans="2:14" ht="16.5" customHeight="1">
      <c r="B61" s="13" t="s">
        <v>117</v>
      </c>
      <c r="C61" s="92"/>
      <c r="D61" s="5"/>
      <c r="F61" s="34"/>
      <c r="H61" s="39"/>
      <c r="I61" s="38"/>
      <c r="J61" s="36"/>
      <c r="K61" s="37" t="s">
        <v>118</v>
      </c>
      <c r="L61" s="38"/>
      <c r="M61" s="43"/>
      <c r="N61" s="36"/>
    </row>
    <row r="62" spans="2:14" ht="16.5" customHeight="1">
      <c r="B62" s="259" t="s">
        <v>69</v>
      </c>
      <c r="C62" s="259"/>
      <c r="D62" s="18" t="s">
        <v>70</v>
      </c>
      <c r="F62" s="34"/>
      <c r="J62" s="46"/>
      <c r="K62" s="37"/>
      <c r="N62" s="46"/>
    </row>
    <row r="63" spans="2:14" ht="16.5" customHeight="1">
      <c r="B63" s="280" t="s">
        <v>119</v>
      </c>
      <c r="C63" s="94" t="s">
        <v>100</v>
      </c>
      <c r="D63" s="21" t="s">
        <v>120</v>
      </c>
      <c r="F63" s="34"/>
      <c r="J63" s="46"/>
      <c r="K63" s="183"/>
      <c r="N63" s="46"/>
    </row>
    <row r="64" spans="2:14" ht="16.5" customHeight="1">
      <c r="B64" s="280"/>
      <c r="C64" s="94" t="s">
        <v>201</v>
      </c>
      <c r="D64" s="21" t="s">
        <v>121</v>
      </c>
      <c r="F64" s="34"/>
      <c r="J64" s="46"/>
      <c r="K64" s="34"/>
      <c r="N64" s="46"/>
    </row>
    <row r="65" spans="2:14" ht="16.5" customHeight="1">
      <c r="B65" s="113"/>
      <c r="C65" s="92"/>
      <c r="D65" s="5"/>
      <c r="F65" s="47"/>
      <c r="G65" s="48"/>
      <c r="H65" s="48"/>
      <c r="I65" s="49"/>
      <c r="J65" s="50"/>
      <c r="K65" s="47"/>
      <c r="L65" s="49"/>
      <c r="M65" s="51"/>
      <c r="N65" s="50"/>
    </row>
    <row r="66" spans="2:14" ht="16.5" customHeight="1">
      <c r="B66" s="13" t="s">
        <v>122</v>
      </c>
      <c r="C66" s="92"/>
      <c r="D66" s="5"/>
      <c r="F66" s="35"/>
      <c r="G66" s="35"/>
      <c r="H66" s="35"/>
      <c r="I66" s="35"/>
      <c r="J66" s="35"/>
      <c r="K66" s="26"/>
      <c r="L66" s="35"/>
      <c r="M66" s="35"/>
      <c r="N66" s="35"/>
    </row>
    <row r="67" spans="2:14" ht="16.5" customHeight="1">
      <c r="B67" s="259" t="s">
        <v>69</v>
      </c>
      <c r="C67" s="259"/>
      <c r="D67" s="18" t="s">
        <v>70</v>
      </c>
      <c r="F67" s="35"/>
      <c r="G67" s="35"/>
      <c r="H67" s="35"/>
      <c r="I67" s="35"/>
      <c r="J67" s="35"/>
      <c r="K67" s="26"/>
      <c r="L67" s="35"/>
      <c r="M67" s="35"/>
      <c r="N67" s="35"/>
    </row>
    <row r="68" spans="2:14" ht="16.5" customHeight="1">
      <c r="B68" s="304" t="s">
        <v>202</v>
      </c>
      <c r="C68" s="305"/>
      <c r="D68" s="21" t="s">
        <v>127</v>
      </c>
      <c r="F68" s="35"/>
      <c r="G68" s="35"/>
      <c r="H68" s="35"/>
      <c r="I68" s="35"/>
      <c r="J68" s="35"/>
      <c r="K68" s="26"/>
      <c r="L68" s="35"/>
      <c r="M68" s="35"/>
      <c r="N68" s="35"/>
    </row>
    <row r="69" spans="2:14" ht="16.5" customHeight="1">
      <c r="B69" s="306" t="s">
        <v>123</v>
      </c>
      <c r="C69" s="44" t="s">
        <v>124</v>
      </c>
      <c r="D69" s="21" t="s">
        <v>127</v>
      </c>
      <c r="F69" s="35"/>
      <c r="G69" s="35"/>
      <c r="H69" s="35"/>
      <c r="I69" s="35"/>
      <c r="J69" s="35"/>
      <c r="K69" s="26"/>
      <c r="L69" s="35"/>
      <c r="M69" s="35"/>
      <c r="N69" s="35"/>
    </row>
    <row r="70" spans="2:14" ht="16.5" customHeight="1">
      <c r="B70" s="307"/>
      <c r="C70" s="115" t="s">
        <v>126</v>
      </c>
      <c r="D70" s="21" t="s">
        <v>127</v>
      </c>
      <c r="F70" s="35"/>
      <c r="G70" s="35"/>
      <c r="H70" s="35"/>
      <c r="I70" s="35"/>
      <c r="J70" s="35"/>
      <c r="K70" s="26"/>
      <c r="L70" s="35"/>
      <c r="M70" s="35"/>
      <c r="N70" s="35"/>
    </row>
    <row r="71" spans="2:14" ht="16.5" customHeight="1">
      <c r="B71" s="308"/>
      <c r="C71" s="93" t="s">
        <v>128</v>
      </c>
      <c r="D71" s="187" t="s">
        <v>125</v>
      </c>
      <c r="F71" s="35"/>
      <c r="G71" s="35"/>
      <c r="H71" s="35"/>
      <c r="I71" s="35"/>
      <c r="J71" s="35"/>
      <c r="K71" s="26"/>
      <c r="L71" s="35"/>
      <c r="M71" s="35"/>
      <c r="N71" s="35"/>
    </row>
    <row r="72" spans="2:14" ht="16.5" customHeight="1">
      <c r="B72" s="306" t="s">
        <v>203</v>
      </c>
      <c r="C72" s="45" t="s">
        <v>130</v>
      </c>
      <c r="D72" s="135" t="s">
        <v>125</v>
      </c>
      <c r="F72" s="35"/>
      <c r="G72" s="35"/>
      <c r="H72" s="35"/>
      <c r="I72" s="35"/>
      <c r="J72" s="35"/>
      <c r="K72" s="26"/>
      <c r="L72" s="35"/>
      <c r="M72" s="35"/>
      <c r="N72" s="35"/>
    </row>
    <row r="73" spans="2:14" ht="16.5" customHeight="1">
      <c r="B73" s="307"/>
      <c r="C73" s="93" t="s">
        <v>95</v>
      </c>
      <c r="D73" s="21" t="s">
        <v>129</v>
      </c>
      <c r="F73" s="35"/>
      <c r="G73" s="35"/>
      <c r="H73" s="35"/>
      <c r="I73" s="35"/>
      <c r="J73" s="35"/>
      <c r="K73" s="26"/>
      <c r="L73" s="35"/>
      <c r="M73" s="35"/>
      <c r="N73" s="35"/>
    </row>
    <row r="74" spans="2:14" ht="16.5" customHeight="1">
      <c r="B74" s="307"/>
      <c r="C74" s="115" t="s">
        <v>126</v>
      </c>
      <c r="D74" s="21" t="s">
        <v>125</v>
      </c>
      <c r="F74" s="35"/>
      <c r="G74" s="35"/>
      <c r="H74" s="35"/>
      <c r="I74" s="35"/>
      <c r="J74" s="35"/>
      <c r="K74" s="26"/>
      <c r="L74" s="35"/>
      <c r="M74" s="35"/>
      <c r="N74" s="35"/>
    </row>
    <row r="75" spans="2:14" ht="16.5" customHeight="1">
      <c r="B75" s="308"/>
      <c r="C75" s="93" t="s">
        <v>128</v>
      </c>
      <c r="D75" s="21" t="s">
        <v>125</v>
      </c>
      <c r="F75" s="35"/>
      <c r="G75" s="35"/>
      <c r="H75" s="35"/>
      <c r="I75" s="35"/>
      <c r="J75" s="35"/>
      <c r="K75" s="26"/>
      <c r="L75" s="35"/>
      <c r="M75" s="35"/>
      <c r="N75" s="35"/>
    </row>
    <row r="76" spans="2:14" ht="16.5" customHeight="1">
      <c r="B76" s="245" t="s">
        <v>114</v>
      </c>
      <c r="C76" s="246"/>
      <c r="D76" s="21" t="s">
        <v>131</v>
      </c>
      <c r="F76" s="35"/>
      <c r="G76" s="35"/>
      <c r="H76" s="35"/>
      <c r="I76" s="35"/>
      <c r="J76" s="35"/>
      <c r="K76" s="26"/>
      <c r="L76" s="35"/>
      <c r="M76" s="35"/>
      <c r="N76" s="35"/>
    </row>
    <row r="77" spans="2:14" ht="16.5" customHeight="1">
      <c r="D77" s="7"/>
      <c r="F77" s="35"/>
      <c r="G77" s="35"/>
      <c r="H77" s="35"/>
      <c r="I77" s="35"/>
      <c r="J77" s="35"/>
      <c r="K77" s="26"/>
      <c r="L77" s="35"/>
      <c r="M77" s="35"/>
      <c r="N77" s="35"/>
    </row>
    <row r="78" spans="2:14" ht="16.5" customHeight="1">
      <c r="D78" s="7"/>
      <c r="F78" s="35"/>
      <c r="G78" s="35"/>
      <c r="H78" s="35"/>
      <c r="I78" s="35"/>
      <c r="J78" s="35"/>
      <c r="K78" s="26"/>
      <c r="L78" s="35"/>
      <c r="M78" s="35"/>
      <c r="N78" s="35"/>
    </row>
    <row r="79" spans="2:14" ht="16.5" customHeight="1">
      <c r="B79" s="13" t="s">
        <v>132</v>
      </c>
      <c r="C79" s="13"/>
      <c r="D79" s="26"/>
      <c r="K79" s="13" t="s">
        <v>133</v>
      </c>
    </row>
    <row r="80" spans="2:14" ht="16.5" customHeight="1">
      <c r="B80" s="176"/>
      <c r="C80" s="175"/>
      <c r="D80" s="29"/>
      <c r="E80" s="29"/>
      <c r="F80" s="29"/>
      <c r="G80" s="29"/>
      <c r="H80" s="29"/>
      <c r="I80" s="29"/>
      <c r="J80" s="52" t="s">
        <v>134</v>
      </c>
      <c r="K80" s="90" t="s">
        <v>135</v>
      </c>
      <c r="L80" s="29"/>
      <c r="M80" s="29"/>
      <c r="N80" s="53"/>
    </row>
    <row r="81" spans="1:15" ht="16.5" customHeight="1">
      <c r="B81" s="34"/>
      <c r="J81" s="46"/>
      <c r="K81" s="91"/>
      <c r="N81" s="57"/>
    </row>
    <row r="82" spans="1:15" ht="16.5" customHeight="1">
      <c r="B82" s="34"/>
      <c r="J82" s="46"/>
      <c r="K82" s="64"/>
      <c r="L82" s="12"/>
      <c r="N82" s="57"/>
    </row>
    <row r="83" spans="1:15" ht="16.5" customHeight="1">
      <c r="B83" s="34"/>
      <c r="J83" s="46"/>
      <c r="K83" s="64"/>
      <c r="N83" s="57"/>
    </row>
    <row r="84" spans="1:15" ht="16.5" customHeight="1">
      <c r="B84" s="60"/>
      <c r="C84" s="61"/>
      <c r="J84" s="46"/>
      <c r="K84" s="64" t="s">
        <v>136</v>
      </c>
      <c r="N84" s="57"/>
    </row>
    <row r="85" spans="1:15" ht="16.5" customHeight="1">
      <c r="B85" s="34"/>
      <c r="J85" s="46"/>
      <c r="K85" s="63" t="s">
        <v>137</v>
      </c>
      <c r="N85" s="57"/>
    </row>
    <row r="86" spans="1:15" ht="16.5" customHeight="1">
      <c r="B86" s="62"/>
      <c r="C86" s="26"/>
      <c r="J86" s="46"/>
      <c r="K86" s="91"/>
      <c r="N86" s="57"/>
    </row>
    <row r="87" spans="1:15" ht="16.5" customHeight="1">
      <c r="B87" s="34"/>
      <c r="J87" s="46"/>
      <c r="N87" s="57"/>
    </row>
    <row r="88" spans="1:15" ht="16.5" customHeight="1">
      <c r="B88" s="58"/>
      <c r="C88" s="63"/>
      <c r="J88" s="46"/>
      <c r="K88" s="64"/>
      <c r="N88" s="57"/>
    </row>
    <row r="89" spans="1:15" ht="16.5" customHeight="1">
      <c r="B89" s="58"/>
      <c r="C89" s="63"/>
      <c r="J89" s="46"/>
      <c r="K89" s="59" t="s">
        <v>138</v>
      </c>
      <c r="N89" s="57"/>
    </row>
    <row r="90" spans="1:15" ht="16.5" customHeight="1">
      <c r="B90" s="62"/>
      <c r="C90" s="26"/>
      <c r="J90" s="46"/>
      <c r="K90" s="56" t="s">
        <v>343</v>
      </c>
      <c r="N90" s="57"/>
    </row>
    <row r="91" spans="1:15" ht="16.5" customHeight="1">
      <c r="B91" s="62"/>
      <c r="C91" s="26"/>
      <c r="J91" s="46"/>
      <c r="K91" s="56"/>
      <c r="N91" s="57"/>
    </row>
    <row r="92" spans="1:15" ht="16.5" customHeight="1">
      <c r="B92" s="62"/>
      <c r="C92" s="26"/>
      <c r="J92" s="46"/>
      <c r="K92" s="58"/>
      <c r="N92" s="57"/>
    </row>
    <row r="93" spans="1:15" ht="16.5" customHeight="1">
      <c r="B93" s="62"/>
      <c r="C93" s="26"/>
      <c r="J93" s="46"/>
      <c r="N93" s="57"/>
    </row>
    <row r="94" spans="1:15" ht="16.5" customHeight="1">
      <c r="B94" s="34"/>
      <c r="F94" s="12"/>
      <c r="J94" s="46"/>
      <c r="N94" s="57"/>
      <c r="O94" s="66"/>
    </row>
    <row r="95" spans="1:15" ht="16.5" customHeight="1">
      <c r="B95" s="34"/>
      <c r="J95" s="46"/>
      <c r="N95" s="57"/>
      <c r="O95" s="66"/>
    </row>
    <row r="96" spans="1:15" ht="16.5" customHeight="1">
      <c r="A96" s="66"/>
      <c r="B96" s="34"/>
      <c r="J96" s="46"/>
      <c r="M96" s="35"/>
      <c r="N96" s="57"/>
      <c r="O96" s="66"/>
    </row>
    <row r="97" spans="2:14" ht="16.5" customHeight="1">
      <c r="B97" s="34"/>
      <c r="J97" s="46"/>
      <c r="K97" s="59" t="s">
        <v>139</v>
      </c>
      <c r="M97" s="35"/>
      <c r="N97" s="57"/>
    </row>
    <row r="98" spans="2:14" ht="16.5" customHeight="1">
      <c r="B98" s="34"/>
      <c r="J98" s="46"/>
      <c r="K98" s="34" t="s">
        <v>140</v>
      </c>
      <c r="L98" s="7"/>
      <c r="M98" s="35"/>
      <c r="N98" s="57"/>
    </row>
    <row r="99" spans="2:14" ht="16.5" customHeight="1">
      <c r="B99" s="34"/>
      <c r="H99" s="64"/>
      <c r="I99" s="64"/>
      <c r="J99" s="46"/>
      <c r="K99" s="54"/>
      <c r="L99" s="35"/>
      <c r="M99" s="35"/>
      <c r="N99" s="57"/>
    </row>
    <row r="100" spans="2:14" ht="16.5" customHeight="1">
      <c r="B100" s="65"/>
      <c r="C100" s="66"/>
      <c r="D100" s="66"/>
      <c r="E100" s="67"/>
      <c r="F100" s="67"/>
      <c r="G100" s="67"/>
      <c r="H100" s="67"/>
      <c r="I100" s="67"/>
      <c r="J100" s="68"/>
      <c r="K100" s="59" t="s">
        <v>141</v>
      </c>
      <c r="L100" s="35"/>
      <c r="M100" s="69"/>
      <c r="N100" s="57"/>
    </row>
    <row r="101" spans="2:14" ht="16.5" customHeight="1">
      <c r="B101" s="65"/>
      <c r="C101" s="66"/>
      <c r="D101" s="66"/>
      <c r="E101" s="67"/>
      <c r="F101" s="67"/>
      <c r="G101" s="67"/>
      <c r="H101" s="67"/>
      <c r="I101" s="67"/>
      <c r="J101" s="68"/>
      <c r="K101" s="34" t="s">
        <v>142</v>
      </c>
      <c r="L101" s="35"/>
      <c r="M101" s="69"/>
      <c r="N101" s="57"/>
    </row>
    <row r="102" spans="2:14" ht="16.5" customHeight="1">
      <c r="B102" s="65"/>
      <c r="C102" s="66"/>
      <c r="D102" s="66"/>
      <c r="E102" s="67"/>
      <c r="F102" s="67"/>
      <c r="G102" s="67"/>
      <c r="H102" s="67"/>
      <c r="I102" s="67"/>
      <c r="J102" s="68"/>
      <c r="K102" s="54"/>
      <c r="L102" s="69"/>
      <c r="M102" s="69"/>
      <c r="N102" s="57"/>
    </row>
    <row r="103" spans="2:14" ht="16.5" customHeight="1">
      <c r="B103" s="65"/>
      <c r="C103" s="66"/>
      <c r="D103" s="66"/>
      <c r="E103" s="67"/>
      <c r="F103" s="67"/>
      <c r="G103" s="67"/>
      <c r="H103" s="67"/>
      <c r="I103" s="67"/>
      <c r="J103" s="68"/>
      <c r="K103" s="59" t="s">
        <v>205</v>
      </c>
      <c r="L103" s="69"/>
      <c r="M103" s="69"/>
      <c r="N103" s="57"/>
    </row>
    <row r="104" spans="2:14" ht="16.5" customHeight="1">
      <c r="B104" s="34"/>
      <c r="J104" s="46"/>
      <c r="K104" s="34" t="s">
        <v>143</v>
      </c>
      <c r="L104" s="69"/>
      <c r="N104" s="57"/>
    </row>
    <row r="105" spans="2:14" ht="16.5" customHeight="1">
      <c r="B105" s="34"/>
      <c r="J105" s="46"/>
      <c r="K105" s="34"/>
      <c r="L105" s="7"/>
      <c r="N105" s="57"/>
    </row>
    <row r="106" spans="2:14" ht="16.5" customHeight="1">
      <c r="B106" s="70"/>
      <c r="C106" s="71"/>
      <c r="D106" s="71"/>
      <c r="E106" s="71"/>
      <c r="F106" s="71"/>
      <c r="G106" s="71"/>
      <c r="H106" s="71"/>
      <c r="I106" s="71"/>
      <c r="J106" s="72"/>
      <c r="K106" s="70"/>
      <c r="L106" s="71"/>
      <c r="M106" s="71"/>
      <c r="N106" s="73"/>
    </row>
    <row r="108" spans="2:14" ht="16.5" customHeight="1">
      <c r="B108" s="13" t="s">
        <v>144</v>
      </c>
      <c r="C108" s="13"/>
      <c r="D108" s="26"/>
      <c r="K108" s="13" t="s">
        <v>145</v>
      </c>
    </row>
    <row r="109" spans="2:14" ht="16.5" customHeight="1">
      <c r="B109" s="28"/>
      <c r="C109" s="29"/>
      <c r="D109" s="29"/>
      <c r="E109" s="29"/>
      <c r="F109" s="29"/>
      <c r="G109" s="29"/>
      <c r="H109" s="29"/>
      <c r="I109" s="29"/>
      <c r="J109" s="29"/>
      <c r="K109" s="28"/>
      <c r="L109" s="29"/>
      <c r="M109" s="29"/>
      <c r="N109" s="74"/>
    </row>
    <row r="110" spans="2:14" ht="16.5" customHeight="1">
      <c r="B110" s="34"/>
      <c r="K110" s="37" t="s">
        <v>146</v>
      </c>
      <c r="L110" s="75"/>
      <c r="N110" s="46"/>
    </row>
    <row r="111" spans="2:14" ht="16.5" customHeight="1">
      <c r="B111" s="34"/>
      <c r="K111" s="37"/>
      <c r="L111" s="75"/>
      <c r="N111" s="46"/>
    </row>
    <row r="112" spans="2:14" ht="16.5" customHeight="1">
      <c r="B112" s="34"/>
      <c r="K112" s="37" t="s">
        <v>147</v>
      </c>
      <c r="L112" s="75"/>
      <c r="N112" s="46"/>
    </row>
    <row r="113" spans="1:88" ht="16.5" customHeight="1">
      <c r="B113" s="34"/>
      <c r="K113" s="37"/>
      <c r="L113" s="76"/>
      <c r="N113" s="46"/>
    </row>
    <row r="114" spans="1:88" ht="16.5" customHeight="1">
      <c r="B114" s="34"/>
      <c r="K114" s="37" t="s">
        <v>148</v>
      </c>
      <c r="L114" s="76"/>
      <c r="N114" s="46"/>
    </row>
    <row r="115" spans="1:88" ht="16.5" customHeight="1">
      <c r="B115" s="34"/>
      <c r="K115" s="37" t="s">
        <v>149</v>
      </c>
      <c r="L115" s="77"/>
      <c r="N115" s="46"/>
    </row>
    <row r="116" spans="1:88" ht="16.5" customHeight="1">
      <c r="B116" s="34"/>
      <c r="K116" s="37" t="s">
        <v>150</v>
      </c>
      <c r="N116" s="46"/>
    </row>
    <row r="117" spans="1:88" ht="16.5" customHeight="1">
      <c r="B117" s="34"/>
      <c r="K117" s="37" t="s">
        <v>151</v>
      </c>
      <c r="N117" s="46"/>
    </row>
    <row r="118" spans="1:88" ht="16.5" customHeight="1">
      <c r="B118" s="34"/>
      <c r="K118" s="34" t="s">
        <v>152</v>
      </c>
      <c r="N118" s="46"/>
    </row>
    <row r="119" spans="1:88" ht="16.5" customHeight="1">
      <c r="B119" s="34"/>
      <c r="K119" s="34" t="s">
        <v>153</v>
      </c>
      <c r="N119" s="46"/>
    </row>
    <row r="120" spans="1:88" ht="16.5" customHeight="1">
      <c r="B120" s="34"/>
      <c r="K120" s="34" t="s">
        <v>154</v>
      </c>
      <c r="N120" s="46"/>
    </row>
    <row r="121" spans="1:88" ht="16.5" customHeight="1">
      <c r="B121" s="34"/>
      <c r="K121" s="34" t="s">
        <v>155</v>
      </c>
      <c r="N121" s="46"/>
    </row>
    <row r="122" spans="1:88" ht="16.5" customHeight="1">
      <c r="B122" s="34"/>
      <c r="K122" s="34"/>
      <c r="N122" s="46"/>
    </row>
    <row r="123" spans="1:88" s="84" customFormat="1" ht="32.25" customHeight="1">
      <c r="A123" s="80"/>
      <c r="B123" s="34"/>
      <c r="C123" s="1"/>
      <c r="D123" s="1"/>
      <c r="E123" s="1"/>
      <c r="F123" s="1"/>
      <c r="G123" s="1"/>
      <c r="H123" s="1"/>
      <c r="I123" s="1"/>
      <c r="J123" s="1"/>
      <c r="K123" s="34" t="s">
        <v>156</v>
      </c>
      <c r="L123" s="1"/>
      <c r="M123" s="1"/>
      <c r="N123" s="46"/>
      <c r="O123" s="80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</row>
    <row r="124" spans="1:88" ht="16.5" customHeight="1">
      <c r="B124" s="34"/>
      <c r="K124" s="34"/>
      <c r="N124" s="46"/>
    </row>
    <row r="125" spans="1:88" ht="16.5" customHeight="1">
      <c r="B125" s="34"/>
      <c r="K125" s="34" t="s">
        <v>157</v>
      </c>
      <c r="N125" s="46"/>
    </row>
    <row r="126" spans="1:88" ht="16.5" customHeight="1">
      <c r="B126" s="54"/>
      <c r="C126" s="55"/>
      <c r="K126" s="34"/>
      <c r="N126" s="46"/>
    </row>
    <row r="127" spans="1:88" ht="16.5" customHeight="1">
      <c r="B127" s="34"/>
      <c r="K127" s="34"/>
      <c r="N127" s="46"/>
    </row>
    <row r="128" spans="1:88" ht="16.5" customHeight="1">
      <c r="B128" s="78"/>
      <c r="C128" s="79"/>
      <c r="K128" s="178" t="s">
        <v>214</v>
      </c>
      <c r="L128" s="179"/>
      <c r="M128" s="179"/>
      <c r="N128" s="180"/>
    </row>
    <row r="129" spans="2:14" ht="16.5" customHeight="1">
      <c r="B129" s="34"/>
      <c r="K129" s="34"/>
      <c r="N129" s="46"/>
    </row>
    <row r="130" spans="2:14" ht="16.5" customHeight="1">
      <c r="B130" s="34"/>
      <c r="K130" s="34"/>
      <c r="N130" s="46"/>
    </row>
    <row r="131" spans="2:14" ht="16.5" customHeight="1">
      <c r="B131" s="34"/>
      <c r="K131" s="34"/>
      <c r="N131" s="46"/>
    </row>
    <row r="132" spans="2:14" ht="16.5" customHeight="1">
      <c r="B132" s="70"/>
      <c r="C132" s="71"/>
      <c r="D132" s="71"/>
      <c r="E132" s="71"/>
      <c r="F132" s="71"/>
      <c r="G132" s="71"/>
      <c r="H132" s="71"/>
      <c r="I132" s="71"/>
      <c r="J132" s="71"/>
      <c r="K132" s="70"/>
      <c r="L132" s="71"/>
      <c r="M132" s="71"/>
      <c r="N132" s="72"/>
    </row>
    <row r="133" spans="2:14" ht="16.5" customHeight="1">
      <c r="B133" s="80"/>
      <c r="C133" s="80"/>
      <c r="D133" s="80"/>
      <c r="E133" s="80"/>
      <c r="F133" s="81" t="s">
        <v>158</v>
      </c>
      <c r="G133" s="80"/>
      <c r="H133" s="80"/>
      <c r="I133" s="80"/>
      <c r="J133" s="80"/>
      <c r="K133" s="80"/>
      <c r="L133" s="80"/>
      <c r="M133" s="80"/>
      <c r="N133" s="82" t="s">
        <v>159</v>
      </c>
    </row>
  </sheetData>
  <mergeCells count="96">
    <mergeCell ref="M43:N43"/>
    <mergeCell ref="D56:D59"/>
    <mergeCell ref="M44:N44"/>
    <mergeCell ref="M45:N45"/>
    <mergeCell ref="M46:N46"/>
    <mergeCell ref="M47:N47"/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B24:C24"/>
    <mergeCell ref="B31:C31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G1:G3"/>
    <mergeCell ref="B12:C12"/>
    <mergeCell ref="B13:C13"/>
    <mergeCell ref="B14:B16"/>
    <mergeCell ref="B76:C76"/>
    <mergeCell ref="B17:C17"/>
    <mergeCell ref="B20:C20"/>
    <mergeCell ref="B23:C23"/>
    <mergeCell ref="B55:C55"/>
    <mergeCell ref="B67:C67"/>
    <mergeCell ref="B68:C68"/>
    <mergeCell ref="B69:B71"/>
    <mergeCell ref="B72:B75"/>
    <mergeCell ref="B25:B27"/>
    <mergeCell ref="B28:C28"/>
    <mergeCell ref="B43:C43"/>
    <mergeCell ref="B62:C62"/>
    <mergeCell ref="B63:B64"/>
    <mergeCell ref="B49:C49"/>
    <mergeCell ref="B50:C50"/>
    <mergeCell ref="B53:B54"/>
    <mergeCell ref="B56:C59"/>
    <mergeCell ref="M2:M5"/>
    <mergeCell ref="B8:C8"/>
    <mergeCell ref="M8:N8"/>
    <mergeCell ref="B9:C9"/>
    <mergeCell ref="B11:C11"/>
    <mergeCell ref="B10:C10"/>
    <mergeCell ref="N2:N5"/>
    <mergeCell ref="I3:J3"/>
    <mergeCell ref="L2:L5"/>
    <mergeCell ref="I6:J6"/>
    <mergeCell ref="B4:H5"/>
    <mergeCell ref="I4:J4"/>
    <mergeCell ref="I5:J5"/>
    <mergeCell ref="H1:H3"/>
    <mergeCell ref="I1:J1"/>
    <mergeCell ref="I2:J2"/>
    <mergeCell ref="B47:C47"/>
    <mergeCell ref="B51:B52"/>
    <mergeCell ref="B48:C48"/>
    <mergeCell ref="B22:C22"/>
    <mergeCell ref="B1:F3"/>
    <mergeCell ref="B32:C32"/>
    <mergeCell ref="B33:C33"/>
    <mergeCell ref="B34:C34"/>
    <mergeCell ref="B39:C39"/>
    <mergeCell ref="B30:C30"/>
    <mergeCell ref="B35:C35"/>
    <mergeCell ref="B36:B38"/>
    <mergeCell ref="B21:C21"/>
    <mergeCell ref="B19:C19"/>
    <mergeCell ref="B44:B45"/>
    <mergeCell ref="B46:C46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06"/>
  <sheetViews>
    <sheetView view="pageBreakPreview" topLeftCell="A23" zoomScale="70" zoomScaleNormal="85" zoomScaleSheetLayoutView="70" workbookViewId="0">
      <selection activeCell="X46" sqref="X46"/>
    </sheetView>
  </sheetViews>
  <sheetFormatPr defaultColWidth="9" defaultRowHeight="16.5" customHeight="1"/>
  <cols>
    <col min="1" max="1" width="1.44140625" style="1" customWidth="1"/>
    <col min="2" max="2" width="8.33203125" style="1" customWidth="1"/>
    <col min="3" max="3" width="16.44140625" style="1" customWidth="1"/>
    <col min="4" max="4" width="24.44140625" style="1" customWidth="1"/>
    <col min="5" max="5" width="3.33203125" style="1" customWidth="1"/>
    <col min="6" max="6" width="13.44140625" style="1" customWidth="1"/>
    <col min="7" max="7" width="7.44140625" style="1" customWidth="1"/>
    <col min="8" max="8" width="16" style="1" customWidth="1"/>
    <col min="9" max="9" width="11.44140625" style="1" customWidth="1"/>
    <col min="10" max="10" width="11.109375" style="1" customWidth="1"/>
    <col min="11" max="11" width="32.44140625" style="1" customWidth="1"/>
    <col min="12" max="14" width="14.44140625" style="1" customWidth="1"/>
    <col min="15" max="15" width="1.44140625" style="1" customWidth="1"/>
    <col min="16" max="88" width="9" style="6"/>
    <col min="89" max="16384" width="9" style="7"/>
  </cols>
  <sheetData>
    <row r="1" spans="1:15" ht="16.5" customHeight="1">
      <c r="B1" s="249" t="s">
        <v>160</v>
      </c>
      <c r="C1" s="250"/>
      <c r="D1" s="251"/>
      <c r="E1" s="251"/>
      <c r="F1" s="252"/>
      <c r="G1" s="298" t="s">
        <v>51</v>
      </c>
      <c r="H1" s="293" t="str">
        <f>'CIRCUIT SPECIFICATION'!H1:H3</f>
        <v>HONDA MMCA BSI</v>
      </c>
      <c r="I1" s="296" t="s">
        <v>53</v>
      </c>
      <c r="J1" s="297"/>
      <c r="K1" s="9" t="str">
        <f>'CIRCUIT SPECIFICATION'!K1</f>
        <v>Rev.09</v>
      </c>
      <c r="L1" s="2" t="s">
        <v>54</v>
      </c>
      <c r="M1" s="3" t="s">
        <v>55</v>
      </c>
      <c r="N1" s="4" t="s">
        <v>56</v>
      </c>
      <c r="O1" s="5"/>
    </row>
    <row r="2" spans="1:15" ht="16.5" customHeight="1">
      <c r="B2" s="253"/>
      <c r="C2" s="254"/>
      <c r="D2" s="254"/>
      <c r="E2" s="254"/>
      <c r="F2" s="255"/>
      <c r="G2" s="299"/>
      <c r="H2" s="294"/>
      <c r="I2" s="268" t="s">
        <v>56</v>
      </c>
      <c r="J2" s="269"/>
      <c r="K2" s="8" t="s">
        <v>57</v>
      </c>
      <c r="L2" s="270" t="s">
        <v>58</v>
      </c>
      <c r="M2" s="260" t="s">
        <v>59</v>
      </c>
      <c r="N2" s="265" t="str">
        <f>'CIRCUIT SPECIFICATION'!N2:N5</f>
        <v>Rattakiat Ch.</v>
      </c>
      <c r="O2" s="5"/>
    </row>
    <row r="3" spans="1:15" ht="16.5" customHeight="1" thickBot="1">
      <c r="B3" s="256"/>
      <c r="C3" s="257"/>
      <c r="D3" s="257"/>
      <c r="E3" s="257"/>
      <c r="F3" s="258"/>
      <c r="G3" s="300"/>
      <c r="H3" s="295"/>
      <c r="I3" s="268" t="s">
        <v>61</v>
      </c>
      <c r="J3" s="269"/>
      <c r="K3" s="9">
        <f>'CIRCUIT SPECIFICATION'!K3</f>
        <v>46262</v>
      </c>
      <c r="L3" s="271"/>
      <c r="M3" s="261"/>
      <c r="N3" s="266"/>
      <c r="O3" s="10"/>
    </row>
    <row r="4" spans="1:15" ht="16.5" customHeight="1">
      <c r="B4" s="317" t="s">
        <v>62</v>
      </c>
      <c r="C4" s="275"/>
      <c r="D4" s="275"/>
      <c r="E4" s="275"/>
      <c r="F4" s="275"/>
      <c r="G4" s="275"/>
      <c r="H4" s="276"/>
      <c r="I4" s="268" t="s">
        <v>63</v>
      </c>
      <c r="J4" s="269"/>
      <c r="K4" s="8" t="s">
        <v>161</v>
      </c>
      <c r="L4" s="271"/>
      <c r="M4" s="261"/>
      <c r="N4" s="266"/>
      <c r="O4" s="10"/>
    </row>
    <row r="5" spans="1:15" ht="16.5" customHeight="1" thickBot="1">
      <c r="B5" s="318"/>
      <c r="C5" s="319"/>
      <c r="D5" s="319"/>
      <c r="E5" s="319"/>
      <c r="F5" s="319"/>
      <c r="G5" s="319"/>
      <c r="H5" s="320"/>
      <c r="I5" s="291" t="s">
        <v>65</v>
      </c>
      <c r="J5" s="292"/>
      <c r="K5" s="11" t="s">
        <v>66</v>
      </c>
      <c r="L5" s="272"/>
      <c r="M5" s="262"/>
      <c r="N5" s="267"/>
      <c r="O5" s="10"/>
    </row>
    <row r="6" spans="1:15" s="6" customFormat="1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6" customFormat="1" ht="16.5" customHeight="1">
      <c r="A7" s="1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74"/>
      <c r="O7" s="1"/>
    </row>
    <row r="8" spans="1:15" s="6" customFormat="1" ht="16.5" customHeight="1">
      <c r="A8" s="1"/>
      <c r="B8" s="3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6"/>
      <c r="O8" s="1"/>
    </row>
    <row r="9" spans="1:15" s="6" customFormat="1" ht="16.5" customHeight="1">
      <c r="A9" s="1"/>
      <c r="B9" s="3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6"/>
      <c r="O9" s="1"/>
    </row>
    <row r="10" spans="1:15" s="6" customFormat="1" ht="16.5" customHeight="1">
      <c r="A10" s="1"/>
      <c r="B10" s="3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46"/>
      <c r="O10" s="1"/>
    </row>
    <row r="11" spans="1:15" s="6" customFormat="1" ht="16.5" customHeight="1">
      <c r="A11" s="1"/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6"/>
      <c r="O11" s="1"/>
    </row>
    <row r="12" spans="1:15" s="6" customFormat="1" ht="16.5" customHeight="1">
      <c r="A12" s="1"/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1"/>
    </row>
    <row r="13" spans="1:15" s="6" customFormat="1" ht="16.5" customHeight="1">
      <c r="A13" s="1"/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6"/>
      <c r="O13" s="1"/>
    </row>
    <row r="14" spans="1:15" s="6" customFormat="1" ht="16.5" customHeight="1">
      <c r="A14" s="1"/>
      <c r="B14" s="3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6"/>
      <c r="O14" s="1"/>
    </row>
    <row r="15" spans="1:15" s="6" customFormat="1" ht="16.5" customHeight="1">
      <c r="A15" s="1"/>
      <c r="B15" s="3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6"/>
      <c r="O15" s="1"/>
    </row>
    <row r="16" spans="1:15" s="6" customFormat="1" ht="16.5" customHeight="1">
      <c r="A16" s="1"/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6"/>
      <c r="O16" s="1"/>
    </row>
    <row r="17" spans="1:15" s="6" customFormat="1" ht="16.5" customHeight="1">
      <c r="A17" s="1"/>
      <c r="B17" s="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1"/>
    </row>
    <row r="18" spans="1:15" s="6" customFormat="1" ht="16.5" customHeight="1">
      <c r="A18" s="1"/>
      <c r="B18" s="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6"/>
      <c r="O18" s="1"/>
    </row>
    <row r="19" spans="1:15" s="6" customFormat="1" ht="16.5" customHeight="1">
      <c r="A19" s="1"/>
      <c r="B19" s="3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1"/>
    </row>
    <row r="20" spans="1:15" s="6" customFormat="1" ht="16.5" customHeight="1">
      <c r="A20" s="1"/>
      <c r="B20" s="3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6"/>
      <c r="O20" s="1"/>
    </row>
    <row r="21" spans="1:15" s="6" customFormat="1" ht="16.5" customHeight="1">
      <c r="A21" s="1"/>
      <c r="B21" s="3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6"/>
      <c r="O21" s="1"/>
    </row>
    <row r="22" spans="1:15" s="6" customFormat="1" ht="16.5" customHeight="1">
      <c r="A22" s="1"/>
      <c r="B22" s="3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6"/>
      <c r="O22" s="1"/>
    </row>
    <row r="23" spans="1:15" s="6" customFormat="1" ht="16.5" customHeight="1">
      <c r="A23" s="1"/>
      <c r="B23" s="3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"/>
      <c r="O23" s="1"/>
    </row>
    <row r="24" spans="1:15" s="6" customFormat="1" ht="16.5" customHeight="1">
      <c r="A24" s="1"/>
      <c r="B24" s="3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6"/>
      <c r="O24" s="1"/>
    </row>
    <row r="25" spans="1:15" s="6" customFormat="1" ht="16.5" customHeight="1">
      <c r="A25" s="1"/>
      <c r="B25" s="3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6"/>
      <c r="O25" s="1"/>
    </row>
    <row r="26" spans="1:15" s="6" customFormat="1" ht="16.5" customHeight="1">
      <c r="A26" s="1"/>
      <c r="B26" s="3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6"/>
      <c r="O26" s="1"/>
    </row>
    <row r="27" spans="1:15" s="6" customFormat="1" ht="16.5" customHeight="1">
      <c r="A27" s="1"/>
      <c r="B27" s="3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6"/>
      <c r="O27" s="1"/>
    </row>
    <row r="28" spans="1:15" s="6" customFormat="1" ht="16.5" customHeight="1">
      <c r="A28" s="1"/>
      <c r="B28" s="3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6"/>
      <c r="O28" s="1"/>
    </row>
    <row r="29" spans="1:15" s="6" customFormat="1" ht="16.5" customHeight="1">
      <c r="A29" s="1"/>
      <c r="B29" s="3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6"/>
      <c r="O29" s="1"/>
    </row>
    <row r="30" spans="1:15" s="6" customFormat="1" ht="16.5" customHeight="1">
      <c r="A30" s="1"/>
      <c r="B30" s="3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1"/>
    </row>
    <row r="31" spans="1:15" s="6" customFormat="1" ht="16.5" customHeight="1">
      <c r="A31" s="1"/>
      <c r="B31" s="3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6"/>
      <c r="O31" s="1"/>
    </row>
    <row r="32" spans="1:15" s="6" customFormat="1" ht="16.5" customHeight="1">
      <c r="A32" s="1"/>
      <c r="B32" s="3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6"/>
      <c r="O32" s="1"/>
    </row>
    <row r="33" spans="1:15" s="6" customFormat="1" ht="16.5" customHeight="1">
      <c r="A33" s="1"/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1"/>
    </row>
    <row r="34" spans="1:15" s="6" customFormat="1" ht="16.5" customHeight="1">
      <c r="A34" s="1"/>
      <c r="B34" s="3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1"/>
    </row>
    <row r="35" spans="1:15" s="6" customFormat="1" ht="16.5" customHeight="1">
      <c r="A35" s="1"/>
      <c r="B35" s="3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6"/>
      <c r="O35" s="1"/>
    </row>
    <row r="36" spans="1:15" s="6" customFormat="1" ht="16.5" customHeight="1">
      <c r="A36" s="1"/>
      <c r="B36" s="3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6"/>
      <c r="O36" s="1"/>
    </row>
    <row r="37" spans="1:15" s="6" customFormat="1" ht="16.5" customHeight="1">
      <c r="A37" s="1"/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6"/>
      <c r="O37" s="1"/>
    </row>
    <row r="38" spans="1:15" s="6" customFormat="1" ht="16.5" customHeight="1">
      <c r="A38" s="1"/>
      <c r="B38" s="3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6"/>
      <c r="O38" s="1"/>
    </row>
    <row r="39" spans="1:15" s="6" customFormat="1" ht="16.5" customHeight="1">
      <c r="A39" s="1"/>
      <c r="B39" s="3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6"/>
      <c r="O39" s="1"/>
    </row>
    <row r="40" spans="1:15" s="6" customFormat="1" ht="16.5" customHeight="1">
      <c r="A40" s="1"/>
      <c r="B40" s="3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6"/>
      <c r="O40" s="1"/>
    </row>
    <row r="41" spans="1:15" s="6" customFormat="1" ht="16.5" customHeight="1">
      <c r="A41" s="1"/>
      <c r="B41" s="3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6"/>
      <c r="O41" s="1"/>
    </row>
    <row r="42" spans="1:15" s="6" customFormat="1" ht="16.5" customHeight="1">
      <c r="A42" s="1"/>
      <c r="B42" s="3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6"/>
      <c r="O42" s="1"/>
    </row>
    <row r="43" spans="1:15" s="6" customFormat="1" ht="16.5" customHeight="1">
      <c r="A43" s="1"/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6"/>
      <c r="O43" s="1"/>
    </row>
    <row r="44" spans="1:15" s="6" customFormat="1" ht="16.5" customHeight="1">
      <c r="A44" s="1"/>
      <c r="B44" s="3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6"/>
      <c r="O44" s="1"/>
    </row>
    <row r="45" spans="1:15" s="6" customFormat="1" ht="16.5" customHeight="1">
      <c r="A45" s="1"/>
      <c r="B45" s="3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6"/>
      <c r="O45" s="1"/>
    </row>
    <row r="46" spans="1:15" s="6" customFormat="1" ht="16.5" customHeight="1">
      <c r="A46" s="1"/>
      <c r="B46" s="3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6"/>
      <c r="O46" s="1"/>
    </row>
    <row r="47" spans="1:15" s="6" customFormat="1" ht="16.5" customHeight="1">
      <c r="A47" s="1"/>
      <c r="B47" s="3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6"/>
      <c r="O47" s="1"/>
    </row>
    <row r="48" spans="1:15" s="6" customFormat="1" ht="16.5" customHeight="1">
      <c r="A48" s="1"/>
      <c r="B48" s="3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6"/>
      <c r="O48" s="1"/>
    </row>
    <row r="49" spans="1:15" s="6" customFormat="1" ht="16.5" customHeight="1">
      <c r="A49" s="1"/>
      <c r="B49" s="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6"/>
      <c r="O49" s="1"/>
    </row>
    <row r="50" spans="1:15" s="6" customFormat="1" ht="16.5" customHeight="1">
      <c r="A50" s="1"/>
      <c r="B50" s="3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6"/>
      <c r="O50" s="1"/>
    </row>
    <row r="51" spans="1:15" s="6" customFormat="1" ht="16.5" customHeight="1">
      <c r="A51" s="1"/>
      <c r="B51" s="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6"/>
      <c r="O51" s="1"/>
    </row>
    <row r="52" spans="1:15" s="6" customFormat="1" ht="16.5" customHeight="1">
      <c r="A52" s="1"/>
      <c r="B52" s="3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6"/>
      <c r="O52" s="1"/>
    </row>
    <row r="53" spans="1:15" s="6" customFormat="1" ht="16.5" customHeight="1">
      <c r="A53" s="1"/>
      <c r="B53" s="3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6"/>
      <c r="O53" s="1"/>
    </row>
    <row r="54" spans="1:15" s="6" customFormat="1" ht="16.5" customHeight="1">
      <c r="A54" s="1"/>
      <c r="B54" s="3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6"/>
      <c r="O54" s="1"/>
    </row>
    <row r="55" spans="1:15" s="6" customFormat="1" ht="16.5" customHeight="1">
      <c r="A55" s="1"/>
      <c r="B55" s="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6"/>
      <c r="O55" s="1"/>
    </row>
    <row r="56" spans="1:15" s="6" customFormat="1" ht="16.5" customHeight="1">
      <c r="A56" s="1"/>
      <c r="B56" s="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6"/>
      <c r="O56" s="1"/>
    </row>
    <row r="57" spans="1:15" s="6" customFormat="1" ht="16.5" customHeight="1">
      <c r="A57" s="1"/>
      <c r="B57" s="3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6"/>
      <c r="O57" s="1"/>
    </row>
    <row r="58" spans="1:15" s="6" customFormat="1" ht="16.5" customHeight="1">
      <c r="A58" s="1"/>
      <c r="B58" s="3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6"/>
      <c r="O58" s="1"/>
    </row>
    <row r="59" spans="1:15" s="6" customFormat="1" ht="16.5" customHeight="1">
      <c r="A59" s="1"/>
      <c r="B59" s="3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6"/>
      <c r="O59" s="1"/>
    </row>
    <row r="60" spans="1:15" s="6" customFormat="1" ht="16.5" customHeight="1">
      <c r="A60" s="1"/>
      <c r="B60" s="3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6"/>
      <c r="O60" s="1"/>
    </row>
    <row r="61" spans="1:15" s="6" customFormat="1" ht="16.5" customHeight="1">
      <c r="A61" s="1"/>
      <c r="B61" s="3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6"/>
      <c r="O61" s="1"/>
    </row>
    <row r="62" spans="1:15" s="6" customFormat="1" ht="16.5" customHeight="1">
      <c r="A62" s="1"/>
      <c r="B62" s="3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6"/>
      <c r="O62" s="1"/>
    </row>
    <row r="63" spans="1:15" s="6" customFormat="1" ht="16.5" customHeight="1">
      <c r="A63" s="1"/>
      <c r="B63" s="3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6"/>
      <c r="O63" s="1"/>
    </row>
    <row r="64" spans="1:15" s="6" customFormat="1" ht="16.5" customHeight="1">
      <c r="A64" s="1"/>
      <c r="B64" s="3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6"/>
      <c r="O64" s="1"/>
    </row>
    <row r="65" spans="1:88" s="6" customFormat="1" ht="16.5" customHeight="1">
      <c r="A65" s="1"/>
      <c r="B65" s="3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6"/>
      <c r="O65" s="1"/>
    </row>
    <row r="66" spans="1:88" s="6" customFormat="1" ht="16.5" customHeight="1">
      <c r="A66" s="1"/>
      <c r="B66" s="3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6"/>
      <c r="O66" s="1"/>
    </row>
    <row r="67" spans="1:88" s="6" customFormat="1" ht="16.5" customHeight="1">
      <c r="A67" s="1"/>
      <c r="B67" s="3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6"/>
      <c r="O67" s="1"/>
    </row>
    <row r="68" spans="1:88" s="6" customFormat="1" ht="16.5" customHeight="1">
      <c r="A68" s="1"/>
      <c r="B68" s="3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6"/>
      <c r="O68" s="1"/>
    </row>
    <row r="69" spans="1:88" s="6" customFormat="1" ht="16.5" customHeight="1">
      <c r="A69" s="1"/>
      <c r="B69" s="3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6"/>
      <c r="O69" s="1"/>
    </row>
    <row r="70" spans="1:88" s="6" customFormat="1" ht="16.5" customHeight="1">
      <c r="A70" s="1"/>
      <c r="B70" s="3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6"/>
      <c r="O70" s="1"/>
    </row>
    <row r="71" spans="1:88" s="1" customFormat="1" ht="16.5" customHeight="1">
      <c r="B71" s="34"/>
      <c r="N71" s="4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</row>
    <row r="72" spans="1:88" s="1" customFormat="1" ht="16.5" customHeight="1">
      <c r="B72" s="34"/>
      <c r="N72" s="4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</row>
    <row r="73" spans="1:88" s="1" customFormat="1" ht="16.5" customHeight="1">
      <c r="B73" s="34"/>
      <c r="N73" s="4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</row>
    <row r="74" spans="1:88" s="1" customFormat="1" ht="16.5" customHeight="1">
      <c r="B74" s="34"/>
      <c r="N74" s="4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</row>
    <row r="75" spans="1:88" s="1" customFormat="1" ht="16.5" customHeight="1">
      <c r="B75" s="34"/>
      <c r="N75" s="4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</row>
    <row r="76" spans="1:88" s="1" customFormat="1" ht="16.5" customHeight="1">
      <c r="B76" s="34"/>
      <c r="N76" s="4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</row>
    <row r="77" spans="1:88" s="1" customFormat="1" ht="16.5" customHeight="1">
      <c r="B77" s="34"/>
      <c r="N77" s="4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</row>
    <row r="78" spans="1:88" s="1" customFormat="1" ht="16.5" customHeight="1">
      <c r="B78" s="34"/>
      <c r="N78" s="4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</row>
    <row r="79" spans="1:88" s="1" customFormat="1" ht="16.5" customHeight="1">
      <c r="B79" s="34"/>
      <c r="N79" s="4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</row>
    <row r="80" spans="1:88" s="1" customFormat="1" ht="16.5" customHeight="1">
      <c r="B80" s="34"/>
      <c r="N80" s="4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2:88" s="1" customFormat="1" ht="16.5" customHeight="1">
      <c r="B81" s="34"/>
      <c r="N81" s="4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</row>
    <row r="82" spans="2:88" s="1" customFormat="1" ht="16.5" customHeight="1">
      <c r="B82" s="34"/>
      <c r="N82" s="4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</row>
    <row r="83" spans="2:88" s="1" customFormat="1" ht="16.5" customHeight="1">
      <c r="B83" s="34"/>
      <c r="N83" s="4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</row>
    <row r="84" spans="2:88" s="1" customFormat="1" ht="16.5" customHeight="1">
      <c r="B84" s="34"/>
      <c r="N84" s="4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</row>
    <row r="85" spans="2:88" s="1" customFormat="1" ht="16.5" customHeight="1">
      <c r="B85" s="34"/>
      <c r="N85" s="4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</row>
    <row r="86" spans="2:88" s="1" customFormat="1" ht="16.5" customHeight="1">
      <c r="B86" s="34"/>
      <c r="N86" s="4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</row>
    <row r="87" spans="2:88" s="1" customFormat="1" ht="16.5" customHeight="1">
      <c r="B87" s="34"/>
      <c r="N87" s="4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2:88" s="1" customFormat="1" ht="16.5" customHeight="1">
      <c r="B88" s="34"/>
      <c r="N88" s="4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2:88" s="1" customFormat="1" ht="16.5" customHeight="1">
      <c r="B89" s="34"/>
      <c r="N89" s="4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</row>
    <row r="90" spans="2:88" s="1" customFormat="1" ht="16.5" customHeight="1">
      <c r="B90" s="34"/>
      <c r="N90" s="4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</row>
    <row r="91" spans="2:88" s="1" customFormat="1" ht="16.5" customHeight="1">
      <c r="B91" s="34"/>
      <c r="N91" s="4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</row>
    <row r="92" spans="2:88" s="1" customFormat="1" ht="16.5" customHeight="1">
      <c r="B92" s="34"/>
      <c r="N92" s="4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</row>
    <row r="93" spans="2:88" s="1" customFormat="1" ht="16.5" customHeight="1">
      <c r="B93" s="34"/>
      <c r="N93" s="4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</row>
    <row r="94" spans="2:88" s="1" customFormat="1" ht="16.5" customHeight="1">
      <c r="B94" s="34"/>
      <c r="N94" s="4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</row>
    <row r="95" spans="2:88" s="1" customFormat="1" ht="16.5" customHeight="1">
      <c r="B95" s="34"/>
      <c r="N95" s="4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</row>
    <row r="96" spans="2:88" s="1" customFormat="1" ht="16.5" customHeight="1">
      <c r="B96" s="34"/>
      <c r="N96" s="4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</row>
    <row r="97" spans="1:88" s="1" customFormat="1" ht="16.5" customHeight="1">
      <c r="B97" s="34"/>
      <c r="N97" s="4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</row>
    <row r="98" spans="1:88" s="1" customFormat="1" ht="16.5" customHeight="1">
      <c r="B98" s="34"/>
      <c r="N98" s="4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</row>
    <row r="99" spans="1:88" s="1" customFormat="1" ht="16.5" customHeight="1">
      <c r="B99" s="34"/>
      <c r="N99" s="4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</row>
    <row r="100" spans="1:88" s="1" customFormat="1" ht="16.5" customHeight="1">
      <c r="B100" s="34"/>
      <c r="N100" s="4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</row>
    <row r="101" spans="1:88" s="1" customFormat="1" ht="16.5" customHeight="1">
      <c r="B101" s="34"/>
      <c r="N101" s="4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</row>
    <row r="102" spans="1:88" s="1" customFormat="1" ht="16.5" customHeight="1">
      <c r="B102" s="34"/>
      <c r="N102" s="4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</row>
    <row r="103" spans="1:88" ht="16.5" customHeight="1">
      <c r="B103" s="34"/>
      <c r="N103" s="46"/>
    </row>
    <row r="104" spans="1:88" ht="16.5" customHeight="1">
      <c r="B104" s="34"/>
      <c r="N104" s="46"/>
    </row>
    <row r="105" spans="1:88" ht="16.5" customHeight="1"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2"/>
    </row>
    <row r="106" spans="1:88" s="84" customFormat="1" ht="32.25" customHeight="1">
      <c r="A106" s="80"/>
      <c r="B106" s="80"/>
      <c r="C106" s="80"/>
      <c r="D106" s="80"/>
      <c r="E106" s="80"/>
      <c r="F106" s="81" t="s">
        <v>158</v>
      </c>
      <c r="G106" s="80"/>
      <c r="H106" s="80"/>
      <c r="I106" s="80"/>
      <c r="J106" s="80"/>
      <c r="K106" s="80"/>
      <c r="L106" s="80"/>
      <c r="M106" s="80"/>
      <c r="N106" s="82" t="s">
        <v>162</v>
      </c>
      <c r="O106" s="80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</row>
  </sheetData>
  <mergeCells count="12">
    <mergeCell ref="M2:M5"/>
    <mergeCell ref="N2:N5"/>
    <mergeCell ref="I3:J3"/>
    <mergeCell ref="B4:H5"/>
    <mergeCell ref="I4:J4"/>
    <mergeCell ref="I5:J5"/>
    <mergeCell ref="B1:F3"/>
    <mergeCell ref="G1:G3"/>
    <mergeCell ref="H1:H3"/>
    <mergeCell ref="I1:J1"/>
    <mergeCell ref="I2:J2"/>
    <mergeCell ref="L2:L5"/>
  </mergeCells>
  <pageMargins left="0.7" right="0.7" top="0.75" bottom="0.75" header="0.3" footer="0.3"/>
  <pageSetup paperSize="9" scale="4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113"/>
  <sheetViews>
    <sheetView view="pageBreakPreview" zoomScale="70" zoomScaleNormal="85" zoomScaleSheetLayoutView="70" workbookViewId="0">
      <selection activeCell="J25" sqref="J25"/>
    </sheetView>
  </sheetViews>
  <sheetFormatPr defaultColWidth="9" defaultRowHeight="16.5" customHeight="1"/>
  <cols>
    <col min="1" max="1" width="1.44140625" style="1" customWidth="1"/>
    <col min="2" max="2" width="6" style="1" customWidth="1"/>
    <col min="3" max="3" width="19.44140625" style="1" customWidth="1"/>
    <col min="4" max="4" width="13.44140625" style="1" customWidth="1"/>
    <col min="5" max="5" width="32" style="1" customWidth="1"/>
    <col min="6" max="7" width="14.109375" style="1" customWidth="1"/>
    <col min="8" max="8" width="19.44140625" style="1" customWidth="1"/>
    <col min="9" max="9" width="10.44140625" style="1" customWidth="1"/>
    <col min="10" max="10" width="15" style="1" customWidth="1"/>
    <col min="11" max="11" width="8.33203125" style="1" customWidth="1"/>
    <col min="12" max="12" width="7.44140625" style="1" customWidth="1"/>
    <col min="13" max="13" width="16" style="1" customWidth="1"/>
    <col min="14" max="14" width="11.44140625" style="1" customWidth="1"/>
    <col min="15" max="15" width="13.88671875" style="1" customWidth="1"/>
    <col min="16" max="16" width="14.33203125" style="1" customWidth="1"/>
    <col min="17" max="17" width="17.44140625" style="1" customWidth="1"/>
    <col min="18" max="20" width="14.44140625" style="1" customWidth="1"/>
    <col min="21" max="21" width="1.44140625" style="1" customWidth="1"/>
    <col min="22" max="94" width="9" style="6"/>
    <col min="95" max="16384" width="9" style="7"/>
  </cols>
  <sheetData>
    <row r="1" spans="1:23" ht="16.2" customHeight="1">
      <c r="B1" s="249" t="s">
        <v>163</v>
      </c>
      <c r="C1" s="250"/>
      <c r="D1" s="250"/>
      <c r="E1" s="250"/>
      <c r="F1" s="250"/>
      <c r="G1" s="250"/>
      <c r="H1" s="354"/>
      <c r="I1" s="298" t="s">
        <v>51</v>
      </c>
      <c r="J1" s="361" t="str">
        <f>'CIRCUIT SPECIFICATION'!H1:H3</f>
        <v>HONDA MMCA BSI</v>
      </c>
      <c r="K1" s="362"/>
      <c r="L1" s="362"/>
      <c r="M1" s="363"/>
      <c r="N1" s="296" t="s">
        <v>53</v>
      </c>
      <c r="O1" s="297"/>
      <c r="P1" s="375" t="str">
        <f>'CIRCUIT SPECIFICATION'!K1</f>
        <v>Rev.09</v>
      </c>
      <c r="Q1" s="376"/>
      <c r="R1" s="2" t="s">
        <v>54</v>
      </c>
      <c r="S1" s="3" t="s">
        <v>55</v>
      </c>
      <c r="T1" s="4" t="s">
        <v>56</v>
      </c>
      <c r="U1" s="5"/>
    </row>
    <row r="2" spans="1:23" ht="16.5" customHeight="1">
      <c r="B2" s="355"/>
      <c r="C2" s="356"/>
      <c r="D2" s="356"/>
      <c r="E2" s="356"/>
      <c r="F2" s="356"/>
      <c r="G2" s="356"/>
      <c r="H2" s="357"/>
      <c r="I2" s="299"/>
      <c r="J2" s="361"/>
      <c r="K2" s="362"/>
      <c r="L2" s="362"/>
      <c r="M2" s="363"/>
      <c r="N2" s="268" t="s">
        <v>56</v>
      </c>
      <c r="O2" s="269"/>
      <c r="P2" s="370" t="s">
        <v>57</v>
      </c>
      <c r="Q2" s="371"/>
      <c r="R2" s="270" t="s">
        <v>58</v>
      </c>
      <c r="S2" s="260" t="s">
        <v>59</v>
      </c>
      <c r="T2" s="265" t="str">
        <f>'CIRCUIT SPECIFICATION'!N2:N5</f>
        <v>Rattakiat Ch.</v>
      </c>
      <c r="U2" s="5"/>
    </row>
    <row r="3" spans="1:23" ht="16.5" customHeight="1" thickBot="1">
      <c r="B3" s="358"/>
      <c r="C3" s="359"/>
      <c r="D3" s="359"/>
      <c r="E3" s="359"/>
      <c r="F3" s="359"/>
      <c r="G3" s="359"/>
      <c r="H3" s="360"/>
      <c r="I3" s="300"/>
      <c r="J3" s="364"/>
      <c r="K3" s="365"/>
      <c r="L3" s="365"/>
      <c r="M3" s="366"/>
      <c r="N3" s="268" t="s">
        <v>61</v>
      </c>
      <c r="O3" s="269"/>
      <c r="P3" s="375">
        <f>'CIRCUIT SPECIFICATION'!K3</f>
        <v>46262</v>
      </c>
      <c r="Q3" s="376"/>
      <c r="R3" s="271"/>
      <c r="S3" s="261"/>
      <c r="T3" s="266"/>
      <c r="U3" s="10"/>
    </row>
    <row r="4" spans="1:23" ht="16.5" customHeight="1">
      <c r="B4" s="317" t="s">
        <v>62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6"/>
      <c r="N4" s="268" t="s">
        <v>63</v>
      </c>
      <c r="O4" s="269"/>
      <c r="P4" s="370" t="s">
        <v>161</v>
      </c>
      <c r="Q4" s="371"/>
      <c r="R4" s="271"/>
      <c r="S4" s="261"/>
      <c r="T4" s="266"/>
      <c r="U4" s="10"/>
      <c r="W4" s="6" t="s">
        <v>164</v>
      </c>
    </row>
    <row r="5" spans="1:23" s="6" customFormat="1" ht="16.5" customHeight="1" thickBot="1">
      <c r="A5" s="1"/>
      <c r="B5" s="318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20"/>
      <c r="N5" s="291" t="s">
        <v>65</v>
      </c>
      <c r="O5" s="292"/>
      <c r="P5" s="349" t="s">
        <v>66</v>
      </c>
      <c r="Q5" s="350"/>
      <c r="R5" s="272"/>
      <c r="S5" s="262"/>
      <c r="T5" s="267"/>
      <c r="U5" s="10"/>
      <c r="W5" s="6" t="s">
        <v>165</v>
      </c>
    </row>
    <row r="6" spans="1:23" s="6" customFormat="1" ht="16.5" customHeight="1">
      <c r="A6" s="1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92"/>
      <c r="O6" s="92"/>
      <c r="P6" s="5"/>
      <c r="Q6" s="5"/>
      <c r="R6" s="10"/>
      <c r="S6" s="109"/>
      <c r="T6" s="10"/>
      <c r="U6" s="10"/>
    </row>
    <row r="7" spans="1:23" s="6" customFormat="1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3" s="6" customFormat="1" ht="16.5" customHeight="1">
      <c r="A8" s="1"/>
      <c r="B8" s="108" t="s">
        <v>166</v>
      </c>
      <c r="C8" s="108" t="s">
        <v>167</v>
      </c>
      <c r="D8" s="108" t="s">
        <v>168</v>
      </c>
      <c r="E8" s="108" t="s">
        <v>169</v>
      </c>
      <c r="F8" s="108" t="s">
        <v>170</v>
      </c>
      <c r="G8" s="108" t="s">
        <v>171</v>
      </c>
      <c r="H8" s="108" t="s">
        <v>172</v>
      </c>
      <c r="I8" s="108" t="s">
        <v>173</v>
      </c>
      <c r="J8" s="108" t="s">
        <v>174</v>
      </c>
      <c r="K8" s="372" t="s">
        <v>167</v>
      </c>
      <c r="L8" s="373"/>
      <c r="M8" s="374"/>
      <c r="N8" s="108" t="s">
        <v>175</v>
      </c>
      <c r="O8" s="108" t="s">
        <v>176</v>
      </c>
      <c r="P8" s="108" t="s">
        <v>177</v>
      </c>
      <c r="Q8" s="108" t="s">
        <v>178</v>
      </c>
      <c r="R8" s="108" t="s">
        <v>179</v>
      </c>
      <c r="S8" s="108" t="s">
        <v>180</v>
      </c>
      <c r="T8" s="108" t="s">
        <v>181</v>
      </c>
      <c r="U8" s="1"/>
    </row>
    <row r="9" spans="1:23" s="6" customFormat="1" ht="16.5" customHeight="1">
      <c r="A9" s="1"/>
      <c r="B9" s="351" t="s">
        <v>182</v>
      </c>
      <c r="C9" s="352"/>
      <c r="D9" s="352"/>
      <c r="E9" s="352"/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3"/>
      <c r="U9" s="1"/>
    </row>
    <row r="10" spans="1:23" s="6" customFormat="1" ht="16.5" customHeight="1">
      <c r="A10" s="1"/>
      <c r="B10" s="116">
        <v>1</v>
      </c>
      <c r="C10" s="88" t="str">
        <f>'CIRCUIT SPECIFICATION'!H10</f>
        <v>LED</v>
      </c>
      <c r="D10" s="134" t="str">
        <f>'CIRCUIT SPECIFICATION'!J10</f>
        <v>OSRAM</v>
      </c>
      <c r="E10" s="88" t="str">
        <f>'CIRCUIT SPECIFICATION'!K10</f>
        <v>KY DDLN31.FY-5H8H-5F-8E8G-150-R18</v>
      </c>
      <c r="F10" s="88" t="str">
        <f>'CIRCUIT SPECIFICATION'!L10</f>
        <v>3.25V/200mA</v>
      </c>
      <c r="G10" s="23" t="str">
        <f>'CIRCUIT SPECIFICATION'!I10</f>
        <v>SMD</v>
      </c>
      <c r="H10" s="22" t="str">
        <f>'CIRCUIT SPECIFICATION'!F10</f>
        <v>LED1 - LED3</v>
      </c>
      <c r="I10" s="88">
        <f>'CIRCUIT SPECIFICATION'!G10</f>
        <v>3</v>
      </c>
      <c r="J10" s="117"/>
      <c r="K10" s="341" t="e">
        <f>I10*#REF!</f>
        <v>#REF!</v>
      </c>
      <c r="L10" s="342"/>
      <c r="M10" s="343"/>
      <c r="N10" s="117"/>
      <c r="O10" s="117"/>
      <c r="P10" s="117"/>
      <c r="Q10" s="128" t="s">
        <v>184</v>
      </c>
      <c r="R10" s="129">
        <v>0.14249000000000001</v>
      </c>
      <c r="S10" s="130" t="s">
        <v>164</v>
      </c>
      <c r="T10" s="129">
        <f t="shared" ref="T10:T15" si="0">R10*I10</f>
        <v>0.42747000000000002</v>
      </c>
      <c r="U10" s="1"/>
    </row>
    <row r="11" spans="1:23" s="6" customFormat="1" ht="16.5" customHeight="1">
      <c r="A11" s="1"/>
      <c r="B11" s="329">
        <v>2</v>
      </c>
      <c r="C11" s="335" t="str">
        <f>'CIRCUIT SPECIFICATION'!H11</f>
        <v>CAPACITOR</v>
      </c>
      <c r="D11" s="134" t="str">
        <f>'CIRCUIT SPECIFICATION'!J11</f>
        <v>KEMET</v>
      </c>
      <c r="E11" s="88" t="str">
        <f>'CIRCUIT SPECIFICATION'!K11</f>
        <v>C0805C104M5RACAUTO</v>
      </c>
      <c r="F11" s="335" t="str">
        <f>'CIRCUIT SPECIFICATION'!L11</f>
        <v>0.1uF/50V</v>
      </c>
      <c r="G11" s="337" t="str">
        <f>'CIRCUIT SPECIFICATION'!I11</f>
        <v>SMD</v>
      </c>
      <c r="H11" s="332" t="str">
        <f>'CIRCUIT SPECIFICATION'!F11</f>
        <v>C1, C2</v>
      </c>
      <c r="I11" s="182">
        <f>'CIRCUIT SPECIFICATION'!G11</f>
        <v>2</v>
      </c>
      <c r="J11" s="117"/>
      <c r="K11" s="341" t="e">
        <f>I11*#REF!</f>
        <v>#REF!</v>
      </c>
      <c r="L11" s="342"/>
      <c r="M11" s="343"/>
      <c r="N11" s="117"/>
      <c r="O11" s="117"/>
      <c r="P11" s="117"/>
      <c r="Q11" s="128" t="s">
        <v>183</v>
      </c>
      <c r="R11" s="170">
        <v>0.64600000000000002</v>
      </c>
      <c r="S11" s="130" t="s">
        <v>164</v>
      </c>
      <c r="T11" s="129">
        <f t="shared" si="0"/>
        <v>1.292</v>
      </c>
      <c r="U11" s="1"/>
    </row>
    <row r="12" spans="1:23" s="6" customFormat="1" ht="16.5" customHeight="1">
      <c r="A12" s="1"/>
      <c r="B12" s="330"/>
      <c r="C12" s="339"/>
      <c r="D12" s="134" t="str">
        <f>'CIRCUIT SPECIFICATION'!J12</f>
        <v>YAGEO</v>
      </c>
      <c r="E12" s="88" t="str">
        <f>'CIRCUIT SPECIFICATION'!K12</f>
        <v>AC0805KRX7R9BB104</v>
      </c>
      <c r="F12" s="339"/>
      <c r="G12" s="340"/>
      <c r="H12" s="333"/>
      <c r="I12" s="88">
        <v>0</v>
      </c>
      <c r="J12" s="117"/>
      <c r="K12" s="341" t="e">
        <f>I12*#REF!</f>
        <v>#REF!</v>
      </c>
      <c r="L12" s="342"/>
      <c r="M12" s="343"/>
      <c r="N12" s="117"/>
      <c r="O12" s="117"/>
      <c r="P12" s="117"/>
      <c r="Q12" s="128" t="s">
        <v>183</v>
      </c>
      <c r="R12" s="170">
        <v>0.93700000000000006</v>
      </c>
      <c r="S12" s="130" t="s">
        <v>165</v>
      </c>
      <c r="T12" s="129">
        <f t="shared" si="0"/>
        <v>0</v>
      </c>
      <c r="U12" s="1"/>
    </row>
    <row r="13" spans="1:23" s="6" customFormat="1" ht="16.5" customHeight="1">
      <c r="A13" s="1"/>
      <c r="B13" s="331"/>
      <c r="C13" s="336"/>
      <c r="D13" s="134" t="str">
        <f>'CIRCUIT SPECIFICATION'!J13</f>
        <v>KYOCERA AVX</v>
      </c>
      <c r="E13" s="88" t="str">
        <f>'CIRCUIT SPECIFICATION'!K13</f>
        <v>08055C104K4T4A</v>
      </c>
      <c r="F13" s="336"/>
      <c r="G13" s="338"/>
      <c r="H13" s="334"/>
      <c r="I13" s="88">
        <v>0</v>
      </c>
      <c r="J13" s="117"/>
      <c r="K13" s="341" t="e">
        <f>I13*#REF!</f>
        <v>#REF!</v>
      </c>
      <c r="L13" s="342"/>
      <c r="M13" s="343"/>
      <c r="N13" s="117"/>
      <c r="O13" s="117"/>
      <c r="P13" s="117"/>
      <c r="Q13" s="128" t="s">
        <v>183</v>
      </c>
      <c r="R13" s="170">
        <v>0.74299999999999999</v>
      </c>
      <c r="S13" s="130" t="s">
        <v>165</v>
      </c>
      <c r="T13" s="129">
        <f t="shared" si="0"/>
        <v>0</v>
      </c>
      <c r="U13" s="1"/>
    </row>
    <row r="14" spans="1:23" s="6" customFormat="1" ht="16.5" customHeight="1">
      <c r="A14" s="1"/>
      <c r="B14" s="116">
        <v>3</v>
      </c>
      <c r="C14" s="88" t="str">
        <f>'CIRCUIT SPECIFICATION'!H14</f>
        <v>DIODE</v>
      </c>
      <c r="D14" s="134" t="str">
        <f>'CIRCUIT SPECIFICATION'!J14</f>
        <v>DIOTEC</v>
      </c>
      <c r="E14" s="88" t="str">
        <f>'CIRCUIT SPECIFICATION'!K14</f>
        <v>SL1J-AQ</v>
      </c>
      <c r="F14" s="88" t="str">
        <f>'CIRCUIT SPECIFICATION'!L14</f>
        <v xml:space="preserve"> 600V/1A</v>
      </c>
      <c r="G14" s="23" t="str">
        <f>'CIRCUIT SPECIFICATION'!I14</f>
        <v>SMD</v>
      </c>
      <c r="H14" s="22" t="str">
        <f>'CIRCUIT SPECIFICATION'!F14</f>
        <v>D1</v>
      </c>
      <c r="I14" s="88">
        <f>'CIRCUIT SPECIFICATION'!G14</f>
        <v>1</v>
      </c>
      <c r="J14" s="117"/>
      <c r="K14" s="341" t="e">
        <f>I14*#REF!</f>
        <v>#REF!</v>
      </c>
      <c r="L14" s="342"/>
      <c r="M14" s="343"/>
      <c r="N14" s="117"/>
      <c r="O14" s="117"/>
      <c r="P14" s="117"/>
      <c r="Q14" s="128" t="s">
        <v>183</v>
      </c>
      <c r="R14" s="129">
        <v>0.78800000000000003</v>
      </c>
      <c r="S14" s="130" t="s">
        <v>164</v>
      </c>
      <c r="T14" s="129">
        <f t="shared" si="0"/>
        <v>0.78800000000000003</v>
      </c>
      <c r="U14" s="1"/>
    </row>
    <row r="15" spans="1:23" s="6" customFormat="1" ht="16.5" customHeight="1">
      <c r="A15" s="1"/>
      <c r="B15" s="329">
        <v>4</v>
      </c>
      <c r="C15" s="335" t="str">
        <f>'CIRCUIT SPECIFICATION'!H15</f>
        <v>RESISTOR</v>
      </c>
      <c r="D15" s="134" t="str">
        <f>'CIRCUIT SPECIFICATION'!J15</f>
        <v>ROHM</v>
      </c>
      <c r="E15" s="88" t="str">
        <f>'CIRCUIT SPECIFICATION'!K15</f>
        <v>LTR18EZPJ000</v>
      </c>
      <c r="F15" s="335" t="str">
        <f>'CIRCUIT SPECIFICATION'!L15</f>
        <v>0Ω/1W</v>
      </c>
      <c r="G15" s="337" t="str">
        <f>'CIRCUIT SPECIFICATION'!I15</f>
        <v>SMD</v>
      </c>
      <c r="H15" s="332" t="str">
        <f>'CIRCUIT SPECIFICATION'!F15</f>
        <v>R1</v>
      </c>
      <c r="I15" s="88">
        <v>1</v>
      </c>
      <c r="J15" s="117"/>
      <c r="K15" s="341" t="e">
        <f>I15*#REF!</f>
        <v>#REF!</v>
      </c>
      <c r="L15" s="342"/>
      <c r="M15" s="343"/>
      <c r="N15" s="117"/>
      <c r="O15" s="117"/>
      <c r="P15" s="117"/>
      <c r="Q15" s="128" t="s">
        <v>184</v>
      </c>
      <c r="R15" s="129">
        <v>2.8150000000000001E-2</v>
      </c>
      <c r="S15" s="130" t="s">
        <v>164</v>
      </c>
      <c r="T15" s="129">
        <f t="shared" si="0"/>
        <v>2.8150000000000001E-2</v>
      </c>
      <c r="U15" s="1"/>
    </row>
    <row r="16" spans="1:23" s="6" customFormat="1" ht="16.5" customHeight="1">
      <c r="A16" s="1"/>
      <c r="B16" s="331"/>
      <c r="C16" s="336"/>
      <c r="D16" s="134" t="str">
        <f>'CIRCUIT SPECIFICATION'!J16</f>
        <v>VISHAY</v>
      </c>
      <c r="E16" s="88" t="str">
        <f>'CIRCUIT SPECIFICATION'!K16</f>
        <v>RCL06120000Z0EA</v>
      </c>
      <c r="F16" s="336"/>
      <c r="G16" s="338"/>
      <c r="H16" s="334"/>
      <c r="I16" s="88">
        <v>0</v>
      </c>
      <c r="J16" s="117"/>
      <c r="K16" s="341" t="e">
        <f>I16*#REF!</f>
        <v>#REF!</v>
      </c>
      <c r="L16" s="342"/>
      <c r="M16" s="343"/>
      <c r="N16" s="117"/>
      <c r="O16" s="117"/>
      <c r="P16" s="117"/>
      <c r="Q16" s="128" t="s">
        <v>184</v>
      </c>
      <c r="R16" s="129">
        <v>4.2700000000000002E-2</v>
      </c>
      <c r="S16" s="130" t="s">
        <v>165</v>
      </c>
      <c r="T16" s="129">
        <f>R16*I16</f>
        <v>0</v>
      </c>
      <c r="U16" s="1"/>
    </row>
    <row r="17" spans="1:21" s="6" customFormat="1" ht="16.5" customHeight="1">
      <c r="A17" s="1"/>
      <c r="B17" s="323">
        <v>5</v>
      </c>
      <c r="C17" s="321" t="str">
        <f>'CIRCUIT SPECIFICATION'!H17</f>
        <v>RESISTOR</v>
      </c>
      <c r="D17" s="186" t="str">
        <f>'CIRCUIT SPECIFICATION'!J17</f>
        <v>ROHM</v>
      </c>
      <c r="E17" s="185" t="str">
        <f>'CIRCUIT SPECIFICATION'!K17</f>
        <v>LTR18EZPJ000</v>
      </c>
      <c r="F17" s="321" t="str">
        <f>'CIRCUIT SPECIFICATION'!L17</f>
        <v>0Ω/1W</v>
      </c>
      <c r="G17" s="325" t="str">
        <f>'CIRCUIT SPECIFICATION'!I17</f>
        <v>SMD</v>
      </c>
      <c r="H17" s="327" t="str">
        <f>'CIRCUIT SPECIFICATION'!F17</f>
        <v>(R2)</v>
      </c>
      <c r="I17" s="185">
        <v>0</v>
      </c>
      <c r="J17" s="117"/>
      <c r="K17" s="341" t="e">
        <f>I17*#REF!</f>
        <v>#REF!</v>
      </c>
      <c r="L17" s="342"/>
      <c r="M17" s="343"/>
      <c r="N17" s="117"/>
      <c r="O17" s="117"/>
      <c r="P17" s="117"/>
      <c r="Q17" s="128" t="s">
        <v>184</v>
      </c>
      <c r="R17" s="129">
        <v>2.8150000000000001E-2</v>
      </c>
      <c r="S17" s="130" t="s">
        <v>165</v>
      </c>
      <c r="T17" s="129">
        <f>R17*I17</f>
        <v>0</v>
      </c>
      <c r="U17" s="1"/>
    </row>
    <row r="18" spans="1:21" s="6" customFormat="1" ht="16.5" customHeight="1">
      <c r="A18" s="1"/>
      <c r="B18" s="324"/>
      <c r="C18" s="322"/>
      <c r="D18" s="186" t="str">
        <f>'CIRCUIT SPECIFICATION'!J18</f>
        <v>VISHAY</v>
      </c>
      <c r="E18" s="185" t="str">
        <f>'CIRCUIT SPECIFICATION'!K18</f>
        <v>RCL06120000Z0EA</v>
      </c>
      <c r="F18" s="322"/>
      <c r="G18" s="326"/>
      <c r="H18" s="328"/>
      <c r="I18" s="185">
        <f>'CIRCUIT SPECIFICATION'!G18</f>
        <v>0</v>
      </c>
      <c r="J18" s="117"/>
      <c r="K18" s="341" t="e">
        <f>I18*#REF!</f>
        <v>#REF!</v>
      </c>
      <c r="L18" s="342"/>
      <c r="M18" s="343"/>
      <c r="N18" s="117"/>
      <c r="O18" s="117"/>
      <c r="P18" s="117"/>
      <c r="Q18" s="128" t="s">
        <v>184</v>
      </c>
      <c r="R18" s="129">
        <v>4.2700000000000002E-2</v>
      </c>
      <c r="S18" s="130" t="s">
        <v>164</v>
      </c>
      <c r="T18" s="129">
        <f>R18*I18</f>
        <v>0</v>
      </c>
      <c r="U18" s="1"/>
    </row>
    <row r="19" spans="1:21" s="6" customFormat="1" ht="16.5" customHeight="1">
      <c r="A19" s="1"/>
      <c r="B19" s="116">
        <v>6</v>
      </c>
      <c r="C19" s="88" t="str">
        <f>'CIRCUIT SPECIFICATION'!H19</f>
        <v>PCB BOARD</v>
      </c>
      <c r="D19" s="134" t="str">
        <f>'CIRCUIT SPECIFICATION'!J19</f>
        <v>ANY</v>
      </c>
      <c r="E19" s="88" t="str">
        <f>'CIRCUIT SPECIFICATION'!K19</f>
        <v>FR4 (SIZE TBD)</v>
      </c>
      <c r="F19" s="88" t="str">
        <f>'CIRCUIT SPECIFICATION'!L19</f>
        <v>130-150C</v>
      </c>
      <c r="G19" s="23" t="str">
        <f>'CIRCUIT SPECIFICATION'!I19</f>
        <v xml:space="preserve"> - </v>
      </c>
      <c r="H19" s="22" t="str">
        <f>'CIRCUIT SPECIFICATION'!F19</f>
        <v>PCB</v>
      </c>
      <c r="I19" s="88">
        <f>'CIRCUIT SPECIFICATION'!G19</f>
        <v>1</v>
      </c>
      <c r="J19" s="117"/>
      <c r="K19" s="341"/>
      <c r="L19" s="342"/>
      <c r="M19" s="343"/>
      <c r="N19" s="117"/>
      <c r="O19" s="117"/>
      <c r="P19" s="117"/>
      <c r="Q19" s="128" t="s">
        <v>184</v>
      </c>
      <c r="R19" s="170">
        <v>0.206536</v>
      </c>
      <c r="S19" s="130" t="s">
        <v>164</v>
      </c>
      <c r="T19" s="170">
        <f t="shared" ref="T19:T29" si="1">IF(S19=$W$4,R19*I19,0)</f>
        <v>0.206536</v>
      </c>
      <c r="U19" s="1"/>
    </row>
    <row r="20" spans="1:21" s="6" customFormat="1" ht="16.5" customHeight="1">
      <c r="A20" s="1"/>
      <c r="B20" s="116">
        <v>7</v>
      </c>
      <c r="C20" s="88" t="str">
        <f>'CIRCUIT SPECIFICATION'!H20</f>
        <v>WIRE HARNESS</v>
      </c>
      <c r="D20" s="134" t="str">
        <f>'CIRCUIT SPECIFICATION'!J20</f>
        <v>ANY</v>
      </c>
      <c r="E20" s="88" t="str">
        <f>'CIRCUIT SPECIFICATION'!K20</f>
        <v>AESSX 0.5f</v>
      </c>
      <c r="F20" s="88" t="str">
        <f>'CIRCUIT SPECIFICATION'!L20</f>
        <v>-</v>
      </c>
      <c r="G20" s="23" t="str">
        <f>'CIRCUIT SPECIFICATION'!I20</f>
        <v>INSERT</v>
      </c>
      <c r="H20" s="22" t="str">
        <f>'CIRCUIT SPECIFICATION'!F20</f>
        <v>T1, T2</v>
      </c>
      <c r="I20" s="88">
        <f>'CIRCUIT SPECIFICATION'!G20</f>
        <v>2</v>
      </c>
      <c r="J20" s="117"/>
      <c r="K20" s="341"/>
      <c r="L20" s="342"/>
      <c r="M20" s="343"/>
      <c r="N20" s="117"/>
      <c r="O20" s="117"/>
      <c r="P20" s="117"/>
      <c r="Q20" s="128" t="s">
        <v>183</v>
      </c>
      <c r="R20" s="170">
        <v>1</v>
      </c>
      <c r="S20" s="130" t="s">
        <v>164</v>
      </c>
      <c r="T20" s="170">
        <f t="shared" si="1"/>
        <v>2</v>
      </c>
      <c r="U20" s="1"/>
    </row>
    <row r="21" spans="1:21" s="6" customFormat="1" ht="16.5" customHeight="1">
      <c r="A21" s="1"/>
      <c r="B21" s="116"/>
      <c r="C21" s="172"/>
      <c r="D21" s="88"/>
      <c r="E21" s="88"/>
      <c r="F21" s="172"/>
      <c r="G21" s="172"/>
      <c r="H21" s="172"/>
      <c r="I21" s="172"/>
      <c r="J21" s="117"/>
      <c r="K21" s="125"/>
      <c r="L21" s="126"/>
      <c r="M21" s="123"/>
      <c r="N21" s="117"/>
      <c r="O21" s="117"/>
      <c r="P21" s="117"/>
      <c r="Q21" s="128" t="s">
        <v>183</v>
      </c>
      <c r="R21" s="170"/>
      <c r="S21" s="130" t="s">
        <v>165</v>
      </c>
      <c r="T21" s="170">
        <f t="shared" si="1"/>
        <v>0</v>
      </c>
      <c r="U21" s="1"/>
    </row>
    <row r="22" spans="1:21" s="6" customFormat="1" ht="16.5" customHeight="1">
      <c r="A22" s="1"/>
      <c r="B22" s="116"/>
      <c r="C22" s="172"/>
      <c r="D22" s="88"/>
      <c r="E22" s="88"/>
      <c r="F22" s="172"/>
      <c r="G22" s="172"/>
      <c r="H22" s="172"/>
      <c r="I22" s="172"/>
      <c r="J22" s="117"/>
      <c r="K22" s="125"/>
      <c r="L22" s="126"/>
      <c r="M22" s="123"/>
      <c r="N22" s="117"/>
      <c r="O22" s="117"/>
      <c r="P22" s="117"/>
      <c r="Q22" s="128" t="s">
        <v>183</v>
      </c>
      <c r="R22" s="170"/>
      <c r="S22" s="130" t="s">
        <v>165</v>
      </c>
      <c r="T22" s="170">
        <f t="shared" si="1"/>
        <v>0</v>
      </c>
      <c r="U22" s="1"/>
    </row>
    <row r="23" spans="1:21" s="6" customFormat="1" ht="16.5" customHeight="1">
      <c r="A23" s="1"/>
      <c r="B23" s="116"/>
      <c r="C23" s="172"/>
      <c r="D23" s="88"/>
      <c r="E23" s="88"/>
      <c r="F23" s="172"/>
      <c r="G23" s="172"/>
      <c r="H23" s="172"/>
      <c r="I23" s="172"/>
      <c r="J23" s="117"/>
      <c r="K23" s="125"/>
      <c r="L23" s="126"/>
      <c r="M23" s="123"/>
      <c r="N23" s="117"/>
      <c r="O23" s="117"/>
      <c r="P23" s="117"/>
      <c r="Q23" s="128" t="s">
        <v>183</v>
      </c>
      <c r="R23" s="129"/>
      <c r="S23" s="130" t="s">
        <v>165</v>
      </c>
      <c r="T23" s="170">
        <f t="shared" si="1"/>
        <v>0</v>
      </c>
      <c r="U23" s="1"/>
    </row>
    <row r="24" spans="1:21" s="6" customFormat="1" ht="16.5" customHeight="1">
      <c r="A24" s="1"/>
      <c r="B24" s="116"/>
      <c r="C24" s="172"/>
      <c r="D24" s="88"/>
      <c r="E24" s="88"/>
      <c r="F24" s="172"/>
      <c r="G24" s="172"/>
      <c r="H24" s="172"/>
      <c r="I24" s="172"/>
      <c r="J24" s="117"/>
      <c r="K24" s="125"/>
      <c r="L24" s="126"/>
      <c r="M24" s="123"/>
      <c r="N24" s="117"/>
      <c r="O24" s="117"/>
      <c r="P24" s="117"/>
      <c r="Q24" s="128" t="s">
        <v>183</v>
      </c>
      <c r="R24" s="129"/>
      <c r="S24" s="130" t="s">
        <v>165</v>
      </c>
      <c r="T24" s="170">
        <f t="shared" si="1"/>
        <v>0</v>
      </c>
      <c r="U24" s="1"/>
    </row>
    <row r="25" spans="1:21" s="6" customFormat="1" ht="16.5" customHeight="1">
      <c r="A25" s="1"/>
      <c r="B25" s="116"/>
      <c r="C25" s="172"/>
      <c r="D25" s="88"/>
      <c r="E25" s="88"/>
      <c r="F25" s="172"/>
      <c r="G25" s="172"/>
      <c r="H25" s="172"/>
      <c r="I25" s="172"/>
      <c r="J25" s="117"/>
      <c r="K25" s="125"/>
      <c r="L25" s="126"/>
      <c r="M25" s="123"/>
      <c r="N25" s="117"/>
      <c r="O25" s="117"/>
      <c r="P25" s="117"/>
      <c r="Q25" s="128" t="s">
        <v>183</v>
      </c>
      <c r="R25" s="129"/>
      <c r="S25" s="130" t="s">
        <v>165</v>
      </c>
      <c r="T25" s="170">
        <f t="shared" si="1"/>
        <v>0</v>
      </c>
      <c r="U25" s="1"/>
    </row>
    <row r="26" spans="1:21" s="6" customFormat="1" ht="16.5" customHeight="1">
      <c r="A26" s="1"/>
      <c r="B26" s="116"/>
      <c r="C26" s="172"/>
      <c r="D26" s="88"/>
      <c r="E26" s="88"/>
      <c r="F26" s="172"/>
      <c r="G26" s="172"/>
      <c r="H26" s="172"/>
      <c r="I26" s="172"/>
      <c r="J26" s="117"/>
      <c r="K26" s="125"/>
      <c r="L26" s="126"/>
      <c r="M26" s="123"/>
      <c r="N26" s="117"/>
      <c r="O26" s="117"/>
      <c r="P26" s="117"/>
      <c r="Q26" s="128" t="s">
        <v>183</v>
      </c>
      <c r="R26" s="129"/>
      <c r="S26" s="130" t="s">
        <v>165</v>
      </c>
      <c r="T26" s="170">
        <f t="shared" si="1"/>
        <v>0</v>
      </c>
      <c r="U26" s="1"/>
    </row>
    <row r="27" spans="1:21" s="6" customFormat="1" ht="16.5" customHeight="1">
      <c r="A27" s="1"/>
      <c r="B27" s="116"/>
      <c r="C27" s="172"/>
      <c r="D27" s="88"/>
      <c r="E27" s="88"/>
      <c r="F27" s="172"/>
      <c r="G27" s="172"/>
      <c r="H27" s="172"/>
      <c r="I27" s="172"/>
      <c r="J27" s="117"/>
      <c r="K27" s="125"/>
      <c r="L27" s="126"/>
      <c r="M27" s="123"/>
      <c r="N27" s="117"/>
      <c r="O27" s="117"/>
      <c r="P27" s="117"/>
      <c r="Q27" s="128" t="s">
        <v>183</v>
      </c>
      <c r="R27" s="129"/>
      <c r="S27" s="130" t="s">
        <v>165</v>
      </c>
      <c r="T27" s="170">
        <f t="shared" si="1"/>
        <v>0</v>
      </c>
      <c r="U27" s="1"/>
    </row>
    <row r="28" spans="1:21" s="6" customFormat="1" ht="16.5" customHeight="1">
      <c r="A28" s="1"/>
      <c r="B28" s="116"/>
      <c r="C28" s="172"/>
      <c r="D28" s="88"/>
      <c r="E28" s="88"/>
      <c r="F28" s="172"/>
      <c r="G28" s="172"/>
      <c r="H28" s="172"/>
      <c r="I28" s="172"/>
      <c r="J28" s="117"/>
      <c r="K28" s="125"/>
      <c r="L28" s="126"/>
      <c r="M28" s="123"/>
      <c r="N28" s="117"/>
      <c r="O28" s="117"/>
      <c r="P28" s="117"/>
      <c r="Q28" s="128" t="s">
        <v>183</v>
      </c>
      <c r="R28" s="129"/>
      <c r="S28" s="130" t="s">
        <v>165</v>
      </c>
      <c r="T28" s="170">
        <f t="shared" si="1"/>
        <v>0</v>
      </c>
      <c r="U28" s="1"/>
    </row>
    <row r="29" spans="1:21" s="6" customFormat="1" ht="16.5" customHeight="1">
      <c r="A29" s="1"/>
      <c r="B29" s="116"/>
      <c r="C29" s="172"/>
      <c r="D29" s="88"/>
      <c r="E29" s="88"/>
      <c r="F29" s="172"/>
      <c r="G29" s="172"/>
      <c r="H29" s="172"/>
      <c r="I29" s="172"/>
      <c r="J29" s="117"/>
      <c r="K29" s="125"/>
      <c r="L29" s="126"/>
      <c r="M29" s="123"/>
      <c r="N29" s="117"/>
      <c r="O29" s="117"/>
      <c r="P29" s="117"/>
      <c r="Q29" s="128" t="s">
        <v>183</v>
      </c>
      <c r="R29" s="129"/>
      <c r="S29" s="130" t="s">
        <v>165</v>
      </c>
      <c r="T29" s="170">
        <f t="shared" si="1"/>
        <v>0</v>
      </c>
      <c r="U29" s="1"/>
    </row>
    <row r="30" spans="1:21" s="6" customFormat="1" ht="16.5" customHeight="1">
      <c r="A30" s="1"/>
      <c r="B30" s="116"/>
      <c r="C30" s="172"/>
      <c r="D30" s="88"/>
      <c r="E30" s="88"/>
      <c r="F30" s="172"/>
      <c r="G30" s="172"/>
      <c r="H30" s="172"/>
      <c r="I30" s="172"/>
      <c r="J30" s="117"/>
      <c r="K30" s="125"/>
      <c r="L30" s="126"/>
      <c r="M30" s="123"/>
      <c r="N30" s="117"/>
      <c r="O30" s="117"/>
      <c r="P30" s="117"/>
      <c r="Q30" s="128" t="s">
        <v>183</v>
      </c>
      <c r="R30" s="170"/>
      <c r="S30" s="130" t="s">
        <v>165</v>
      </c>
      <c r="T30" s="170">
        <f t="shared" ref="T30:T46" si="2">IF(S30=$W$4,R30*I30,0)</f>
        <v>0</v>
      </c>
      <c r="U30" s="1"/>
    </row>
    <row r="31" spans="1:21" s="6" customFormat="1" ht="16.5" customHeight="1">
      <c r="A31" s="1"/>
      <c r="B31" s="116"/>
      <c r="C31" s="172"/>
      <c r="D31" s="88"/>
      <c r="E31" s="88"/>
      <c r="F31" s="172"/>
      <c r="G31" s="172"/>
      <c r="H31" s="172"/>
      <c r="I31" s="172"/>
      <c r="J31" s="117"/>
      <c r="K31" s="125"/>
      <c r="L31" s="126"/>
      <c r="M31" s="123"/>
      <c r="N31" s="117"/>
      <c r="O31" s="117"/>
      <c r="P31" s="117"/>
      <c r="Q31" s="128" t="s">
        <v>183</v>
      </c>
      <c r="R31" s="170"/>
      <c r="S31" s="130" t="s">
        <v>165</v>
      </c>
      <c r="T31" s="170">
        <f t="shared" si="2"/>
        <v>0</v>
      </c>
      <c r="U31" s="1"/>
    </row>
    <row r="32" spans="1:21" s="6" customFormat="1" ht="16.5" customHeight="1">
      <c r="A32" s="1"/>
      <c r="B32" s="116"/>
      <c r="C32" s="172"/>
      <c r="D32" s="88"/>
      <c r="E32" s="88"/>
      <c r="F32" s="172"/>
      <c r="G32" s="172"/>
      <c r="H32" s="172"/>
      <c r="I32" s="172"/>
      <c r="J32" s="117"/>
      <c r="K32" s="125"/>
      <c r="L32" s="126"/>
      <c r="M32" s="123"/>
      <c r="N32" s="117"/>
      <c r="O32" s="117"/>
      <c r="P32" s="117"/>
      <c r="Q32" s="128" t="s">
        <v>183</v>
      </c>
      <c r="R32" s="129"/>
      <c r="S32" s="130" t="s">
        <v>165</v>
      </c>
      <c r="T32" s="170">
        <f t="shared" si="2"/>
        <v>0</v>
      </c>
      <c r="U32" s="1"/>
    </row>
    <row r="33" spans="1:21" s="6" customFormat="1" ht="16.5" customHeight="1">
      <c r="A33" s="1"/>
      <c r="B33" s="116"/>
      <c r="C33" s="172"/>
      <c r="D33" s="88"/>
      <c r="E33" s="88"/>
      <c r="F33" s="172"/>
      <c r="G33" s="172"/>
      <c r="H33" s="172"/>
      <c r="I33" s="172"/>
      <c r="J33" s="117"/>
      <c r="K33" s="125"/>
      <c r="L33" s="126"/>
      <c r="M33" s="123"/>
      <c r="N33" s="117"/>
      <c r="O33" s="117"/>
      <c r="P33" s="117"/>
      <c r="Q33" s="128" t="s">
        <v>183</v>
      </c>
      <c r="R33" s="129"/>
      <c r="S33" s="130" t="s">
        <v>165</v>
      </c>
      <c r="T33" s="170">
        <f t="shared" si="2"/>
        <v>0</v>
      </c>
      <c r="U33" s="1"/>
    </row>
    <row r="34" spans="1:21" s="6" customFormat="1" ht="16.5" customHeight="1">
      <c r="A34" s="1"/>
      <c r="B34" s="116"/>
      <c r="C34" s="172"/>
      <c r="D34" s="88"/>
      <c r="E34" s="88"/>
      <c r="F34" s="172"/>
      <c r="G34" s="172"/>
      <c r="H34" s="172"/>
      <c r="I34" s="172"/>
      <c r="J34" s="117"/>
      <c r="K34" s="125"/>
      <c r="L34" s="126"/>
      <c r="M34" s="123"/>
      <c r="N34" s="117"/>
      <c r="O34" s="117"/>
      <c r="P34" s="117"/>
      <c r="Q34" s="128" t="s">
        <v>183</v>
      </c>
      <c r="R34" s="129"/>
      <c r="S34" s="130" t="s">
        <v>165</v>
      </c>
      <c r="T34" s="170">
        <f t="shared" si="2"/>
        <v>0</v>
      </c>
      <c r="U34" s="1"/>
    </row>
    <row r="35" spans="1:21" s="6" customFormat="1" ht="16.5" customHeight="1">
      <c r="A35" s="1"/>
      <c r="B35" s="116"/>
      <c r="C35" s="172"/>
      <c r="D35" s="88"/>
      <c r="E35" s="88"/>
      <c r="F35" s="172"/>
      <c r="G35" s="172"/>
      <c r="H35" s="172"/>
      <c r="I35" s="172"/>
      <c r="J35" s="117"/>
      <c r="K35" s="125"/>
      <c r="L35" s="126"/>
      <c r="M35" s="123"/>
      <c r="N35" s="117"/>
      <c r="O35" s="117"/>
      <c r="P35" s="117"/>
      <c r="Q35" s="128" t="s">
        <v>183</v>
      </c>
      <c r="R35" s="129"/>
      <c r="S35" s="130" t="s">
        <v>165</v>
      </c>
      <c r="T35" s="170">
        <f t="shared" si="2"/>
        <v>0</v>
      </c>
      <c r="U35" s="1"/>
    </row>
    <row r="36" spans="1:21" s="6" customFormat="1" ht="16.5" customHeight="1">
      <c r="A36" s="1"/>
      <c r="B36" s="116"/>
      <c r="C36" s="172"/>
      <c r="D36" s="88"/>
      <c r="E36" s="88"/>
      <c r="F36" s="172"/>
      <c r="G36" s="172"/>
      <c r="H36" s="172"/>
      <c r="I36" s="172"/>
      <c r="J36" s="117"/>
      <c r="K36" s="125"/>
      <c r="L36" s="126"/>
      <c r="M36" s="123"/>
      <c r="N36" s="117"/>
      <c r="O36" s="117"/>
      <c r="P36" s="117"/>
      <c r="Q36" s="128" t="s">
        <v>183</v>
      </c>
      <c r="R36" s="129"/>
      <c r="S36" s="130" t="s">
        <v>165</v>
      </c>
      <c r="T36" s="170">
        <f t="shared" si="2"/>
        <v>0</v>
      </c>
      <c r="U36" s="1"/>
    </row>
    <row r="37" spans="1:21" s="6" customFormat="1" ht="16.5" customHeight="1">
      <c r="A37" s="1"/>
      <c r="B37" s="116"/>
      <c r="C37" s="172"/>
      <c r="D37" s="88"/>
      <c r="E37" s="88"/>
      <c r="F37" s="172"/>
      <c r="G37" s="172"/>
      <c r="H37" s="172"/>
      <c r="I37" s="172"/>
      <c r="J37" s="117"/>
      <c r="K37" s="125"/>
      <c r="L37" s="126"/>
      <c r="M37" s="123"/>
      <c r="N37" s="117"/>
      <c r="O37" s="117"/>
      <c r="P37" s="117"/>
      <c r="Q37" s="128" t="s">
        <v>183</v>
      </c>
      <c r="R37" s="129"/>
      <c r="S37" s="130" t="s">
        <v>165</v>
      </c>
      <c r="T37" s="170">
        <f t="shared" si="2"/>
        <v>0</v>
      </c>
      <c r="U37" s="1"/>
    </row>
    <row r="38" spans="1:21" s="6" customFormat="1" ht="16.5" customHeight="1">
      <c r="A38" s="1"/>
      <c r="B38" s="116"/>
      <c r="C38" s="172"/>
      <c r="D38" s="88"/>
      <c r="E38" s="88"/>
      <c r="F38" s="172"/>
      <c r="G38" s="172"/>
      <c r="H38" s="172"/>
      <c r="I38" s="172"/>
      <c r="J38" s="117"/>
      <c r="K38" s="125"/>
      <c r="L38" s="126"/>
      <c r="M38" s="123"/>
      <c r="N38" s="117"/>
      <c r="O38" s="117"/>
      <c r="P38" s="117"/>
      <c r="Q38" s="128" t="s">
        <v>183</v>
      </c>
      <c r="R38" s="129"/>
      <c r="S38" s="130" t="s">
        <v>165</v>
      </c>
      <c r="T38" s="170">
        <f t="shared" si="2"/>
        <v>0</v>
      </c>
      <c r="U38" s="1"/>
    </row>
    <row r="39" spans="1:21" s="6" customFormat="1" ht="16.5" customHeight="1">
      <c r="A39" s="1"/>
      <c r="B39" s="116"/>
      <c r="C39" s="88"/>
      <c r="D39" s="88"/>
      <c r="E39" s="88"/>
      <c r="F39" s="88"/>
      <c r="G39" s="23"/>
      <c r="H39" s="22"/>
      <c r="I39" s="88"/>
      <c r="J39" s="117"/>
      <c r="K39" s="125"/>
      <c r="L39" s="126"/>
      <c r="M39" s="123"/>
      <c r="N39" s="117"/>
      <c r="O39" s="117"/>
      <c r="P39" s="117"/>
      <c r="Q39" s="128" t="s">
        <v>183</v>
      </c>
      <c r="R39" s="170"/>
      <c r="S39" s="130" t="s">
        <v>165</v>
      </c>
      <c r="T39" s="170">
        <f t="shared" si="2"/>
        <v>0</v>
      </c>
      <c r="U39" s="1"/>
    </row>
    <row r="40" spans="1:21" s="6" customFormat="1" ht="16.5" customHeight="1">
      <c r="A40" s="1"/>
      <c r="B40" s="116"/>
      <c r="C40" s="88"/>
      <c r="D40" s="88"/>
      <c r="E40" s="88"/>
      <c r="F40" s="88"/>
      <c r="G40" s="23"/>
      <c r="H40" s="22"/>
      <c r="I40" s="88"/>
      <c r="J40" s="117"/>
      <c r="K40" s="125"/>
      <c r="L40" s="126"/>
      <c r="M40" s="123"/>
      <c r="N40" s="117"/>
      <c r="O40" s="117"/>
      <c r="P40" s="117"/>
      <c r="Q40" s="128" t="s">
        <v>183</v>
      </c>
      <c r="R40" s="170"/>
      <c r="S40" s="130" t="s">
        <v>165</v>
      </c>
      <c r="T40" s="170">
        <f t="shared" si="2"/>
        <v>0</v>
      </c>
      <c r="U40" s="1"/>
    </row>
    <row r="41" spans="1:21" s="6" customFormat="1" ht="16.5" customHeight="1">
      <c r="A41" s="1"/>
      <c r="B41" s="116"/>
      <c r="C41" s="88"/>
      <c r="D41" s="88"/>
      <c r="E41" s="88"/>
      <c r="F41" s="88"/>
      <c r="G41" s="23"/>
      <c r="H41" s="22"/>
      <c r="I41" s="88"/>
      <c r="J41" s="117"/>
      <c r="K41" s="125"/>
      <c r="L41" s="126"/>
      <c r="M41" s="123"/>
      <c r="N41" s="117"/>
      <c r="O41" s="117"/>
      <c r="P41" s="117"/>
      <c r="Q41" s="128" t="s">
        <v>183</v>
      </c>
      <c r="R41" s="170"/>
      <c r="S41" s="130" t="s">
        <v>165</v>
      </c>
      <c r="T41" s="170">
        <f t="shared" si="2"/>
        <v>0</v>
      </c>
      <c r="U41" s="1"/>
    </row>
    <row r="42" spans="1:21" s="6" customFormat="1" ht="16.5" customHeight="1">
      <c r="A42" s="1"/>
      <c r="B42" s="116"/>
      <c r="C42" s="88"/>
      <c r="D42" s="88"/>
      <c r="E42" s="88"/>
      <c r="F42" s="88"/>
      <c r="G42" s="23"/>
      <c r="H42" s="22"/>
      <c r="I42" s="88"/>
      <c r="J42" s="117"/>
      <c r="K42" s="125"/>
      <c r="L42" s="126"/>
      <c r="M42" s="123"/>
      <c r="N42" s="117"/>
      <c r="O42" s="117"/>
      <c r="P42" s="117"/>
      <c r="Q42" s="128" t="s">
        <v>183</v>
      </c>
      <c r="R42" s="170"/>
      <c r="S42" s="130" t="s">
        <v>165</v>
      </c>
      <c r="T42" s="170">
        <f t="shared" si="2"/>
        <v>0</v>
      </c>
      <c r="U42" s="1"/>
    </row>
    <row r="43" spans="1:21" s="6" customFormat="1" ht="16.5" customHeight="1">
      <c r="A43" s="1"/>
      <c r="B43" s="116"/>
      <c r="C43" s="88"/>
      <c r="D43" s="88"/>
      <c r="E43" s="88"/>
      <c r="F43" s="88"/>
      <c r="G43" s="23"/>
      <c r="H43" s="22"/>
      <c r="I43" s="88"/>
      <c r="J43" s="117"/>
      <c r="K43" s="125"/>
      <c r="L43" s="126"/>
      <c r="M43" s="123"/>
      <c r="N43" s="117"/>
      <c r="O43" s="117"/>
      <c r="P43" s="117"/>
      <c r="Q43" s="128" t="s">
        <v>183</v>
      </c>
      <c r="R43" s="170"/>
      <c r="S43" s="130" t="s">
        <v>165</v>
      </c>
      <c r="T43" s="170">
        <f t="shared" si="2"/>
        <v>0</v>
      </c>
      <c r="U43" s="1"/>
    </row>
    <row r="44" spans="1:21" s="6" customFormat="1" ht="16.5" customHeight="1">
      <c r="A44" s="1"/>
      <c r="B44" s="116"/>
      <c r="C44" s="88"/>
      <c r="D44" s="88"/>
      <c r="E44" s="88"/>
      <c r="F44" s="88"/>
      <c r="G44" s="23"/>
      <c r="H44" s="22"/>
      <c r="I44" s="88"/>
      <c r="J44" s="117"/>
      <c r="K44" s="125"/>
      <c r="L44" s="126">
        <f>SUM(L9:L41)</f>
        <v>0</v>
      </c>
      <c r="M44" s="123"/>
      <c r="N44" s="117"/>
      <c r="O44" s="117"/>
      <c r="P44" s="117"/>
      <c r="Q44" s="128" t="s">
        <v>183</v>
      </c>
      <c r="R44" s="170"/>
      <c r="S44" s="130" t="s">
        <v>165</v>
      </c>
      <c r="T44" s="170">
        <f t="shared" si="2"/>
        <v>0</v>
      </c>
      <c r="U44" s="1"/>
    </row>
    <row r="45" spans="1:21" s="6" customFormat="1" ht="16.5" customHeight="1">
      <c r="A45" s="1"/>
      <c r="B45" s="116"/>
      <c r="C45" s="88"/>
      <c r="D45" s="88"/>
      <c r="E45" s="88"/>
      <c r="F45" s="88"/>
      <c r="G45" s="23"/>
      <c r="H45" s="22"/>
      <c r="I45" s="88"/>
      <c r="J45" s="117"/>
      <c r="K45" s="125"/>
      <c r="L45" s="126">
        <f>L44*0.25</f>
        <v>0</v>
      </c>
      <c r="M45" s="123"/>
      <c r="N45" s="117"/>
      <c r="O45" s="116"/>
      <c r="P45" s="117"/>
      <c r="Q45" s="128" t="s">
        <v>183</v>
      </c>
      <c r="R45" s="170"/>
      <c r="S45" s="130" t="s">
        <v>165</v>
      </c>
      <c r="T45" s="170">
        <f t="shared" si="2"/>
        <v>0</v>
      </c>
      <c r="U45" s="1"/>
    </row>
    <row r="46" spans="1:21" s="6" customFormat="1" ht="16.5" customHeight="1">
      <c r="A46" s="1"/>
      <c r="B46" s="116"/>
      <c r="C46" s="88"/>
      <c r="D46" s="134"/>
      <c r="E46" s="88"/>
      <c r="F46" s="88"/>
      <c r="G46" s="23"/>
      <c r="H46" s="22"/>
      <c r="I46" s="88"/>
      <c r="J46" s="117"/>
      <c r="K46" s="125"/>
      <c r="L46" s="126">
        <v>15</v>
      </c>
      <c r="M46" s="123"/>
      <c r="N46" s="117"/>
      <c r="O46" s="116"/>
      <c r="P46" s="117"/>
      <c r="Q46" s="128" t="s">
        <v>183</v>
      </c>
      <c r="R46" s="129"/>
      <c r="S46" s="130" t="s">
        <v>165</v>
      </c>
      <c r="T46" s="170">
        <f t="shared" si="2"/>
        <v>0</v>
      </c>
      <c r="U46" s="1"/>
    </row>
    <row r="48" spans="1:21" s="6" customFormat="1" ht="16.5" customHeight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18"/>
      <c r="S48" s="1"/>
      <c r="T48" s="1"/>
      <c r="U48" s="1"/>
    </row>
    <row r="49" spans="1:21" s="6" customFormat="1" ht="16.5" customHeight="1">
      <c r="A49" s="1"/>
      <c r="B49" s="1"/>
      <c r="C49" s="1"/>
      <c r="D49" s="1"/>
      <c r="E49" s="1"/>
      <c r="F49" s="1"/>
      <c r="G49" s="1"/>
      <c r="H49" s="367" t="s">
        <v>185</v>
      </c>
      <c r="I49" s="131">
        <f>SUM(I12:I46)*0.1</f>
        <v>0.5</v>
      </c>
      <c r="J49" s="346" t="s">
        <v>186</v>
      </c>
      <c r="K49" s="347"/>
      <c r="L49" s="1"/>
      <c r="M49" s="1"/>
      <c r="N49" s="1"/>
      <c r="O49" s="1"/>
      <c r="P49" s="1"/>
      <c r="Q49" s="107" t="s">
        <v>187</v>
      </c>
      <c r="R49" s="105" t="s">
        <v>188</v>
      </c>
      <c r="S49" s="106" t="s">
        <v>184</v>
      </c>
      <c r="T49" s="127">
        <f>SUMIFS(T9:T46,Q9:Q46,"=USD",S9:S46,"=Mounted")</f>
        <v>0.66215599999999997</v>
      </c>
      <c r="U49" s="1"/>
    </row>
    <row r="50" spans="1:21" s="6" customFormat="1" ht="16.5" customHeight="1" thickBot="1">
      <c r="A50" s="1"/>
      <c r="B50" s="1"/>
      <c r="C50" s="1"/>
      <c r="D50" s="1"/>
      <c r="E50" s="1"/>
      <c r="F50" s="1"/>
      <c r="G50" s="1"/>
      <c r="H50" s="368"/>
      <c r="I50" s="131">
        <f>I49*0.5</f>
        <v>0.25</v>
      </c>
      <c r="J50" s="346" t="s">
        <v>189</v>
      </c>
      <c r="K50" s="347"/>
      <c r="L50" s="1"/>
      <c r="M50" s="1"/>
      <c r="N50" s="1"/>
      <c r="O50" s="1"/>
      <c r="P50" s="1"/>
      <c r="Q50" s="105"/>
      <c r="R50" s="102">
        <v>32.590000000000003</v>
      </c>
      <c r="S50" s="101" t="s">
        <v>183</v>
      </c>
      <c r="T50" s="124">
        <f>T49*R50</f>
        <v>21.579664040000001</v>
      </c>
      <c r="U50" s="1"/>
    </row>
    <row r="51" spans="1:21" s="6" customFormat="1" ht="16.5" customHeight="1">
      <c r="A51" s="1"/>
      <c r="B51" s="1"/>
      <c r="C51" s="1"/>
      <c r="D51" s="1"/>
      <c r="E51" s="1"/>
      <c r="F51" s="1"/>
      <c r="G51" s="1"/>
      <c r="H51" s="368"/>
      <c r="I51" s="131">
        <v>1</v>
      </c>
      <c r="J51" s="346" t="s">
        <v>190</v>
      </c>
      <c r="K51" s="347"/>
      <c r="L51" s="1"/>
      <c r="M51" s="1"/>
      <c r="N51" s="1"/>
      <c r="O51" s="1"/>
      <c r="P51" s="1"/>
      <c r="Q51" s="1"/>
      <c r="R51" s="104" t="s">
        <v>191</v>
      </c>
      <c r="S51" s="103" t="s">
        <v>192</v>
      </c>
      <c r="T51" s="127">
        <f>SUMIFS(T9:T46,Q9:Q46,"=JPY",S9:S46,"=Mounted")</f>
        <v>0</v>
      </c>
      <c r="U51" s="1"/>
    </row>
    <row r="52" spans="1:21" s="6" customFormat="1" ht="16.5" customHeight="1" thickBot="1">
      <c r="A52" s="1"/>
      <c r="B52" s="1"/>
      <c r="C52" s="1"/>
      <c r="D52" s="1"/>
      <c r="E52" s="1"/>
      <c r="F52" s="1"/>
      <c r="G52" s="1"/>
      <c r="H52" s="369"/>
      <c r="I52" s="131">
        <v>2</v>
      </c>
      <c r="J52" s="346" t="s">
        <v>193</v>
      </c>
      <c r="K52" s="347"/>
      <c r="L52" s="1"/>
      <c r="M52" s="1"/>
      <c r="N52" s="1"/>
      <c r="O52" s="1"/>
      <c r="P52" s="1"/>
      <c r="Q52" s="1"/>
      <c r="R52" s="102">
        <v>0.29982999999999999</v>
      </c>
      <c r="S52" s="101" t="s">
        <v>183</v>
      </c>
      <c r="T52" s="124">
        <f>T51*R52</f>
        <v>0</v>
      </c>
      <c r="U52" s="1"/>
    </row>
    <row r="53" spans="1:21" s="6" customFormat="1" ht="16.5" customHeight="1" thickBot="1">
      <c r="A53" s="1"/>
      <c r="B53" s="1"/>
      <c r="C53" s="1"/>
      <c r="D53" s="1"/>
      <c r="E53" s="1"/>
      <c r="F53" s="1"/>
      <c r="G53" s="1"/>
      <c r="H53" s="132" t="s">
        <v>194</v>
      </c>
      <c r="I53" s="133">
        <f>SUM(I49:I52)</f>
        <v>3.75</v>
      </c>
      <c r="J53" s="1"/>
      <c r="K53" s="1"/>
      <c r="L53" s="1"/>
      <c r="M53" s="1"/>
      <c r="N53" s="1"/>
      <c r="O53" s="1"/>
      <c r="P53" s="1"/>
      <c r="Q53" s="1"/>
      <c r="R53" s="1"/>
      <c r="S53" s="100" t="s">
        <v>183</v>
      </c>
      <c r="T53" s="171">
        <f>SUMIFS(T8:T46,Q8:Q46,"=THB",S8:S46,"=Mounted")</f>
        <v>4.08</v>
      </c>
      <c r="U53" s="1"/>
    </row>
    <row r="54" spans="1:21" s="6" customFormat="1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6"/>
      <c r="U54" s="1"/>
    </row>
    <row r="55" spans="1:21" s="6" customFormat="1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19"/>
      <c r="P55" s="1"/>
      <c r="Q55" s="1"/>
      <c r="R55" s="345" t="s">
        <v>206</v>
      </c>
      <c r="S55" s="345"/>
      <c r="T55" s="99">
        <f>T50+T52+T53</f>
        <v>25.659664040000003</v>
      </c>
      <c r="U55" s="1"/>
    </row>
    <row r="56" spans="1:21" s="6" customFormat="1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45" t="s">
        <v>207</v>
      </c>
      <c r="S56" s="345"/>
      <c r="T56" s="99">
        <f>T55*0.03</f>
        <v>0.7697899212</v>
      </c>
      <c r="U56" s="1"/>
    </row>
    <row r="57" spans="1:21" s="6" customFormat="1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45" t="s">
        <v>195</v>
      </c>
      <c r="S57" s="345"/>
      <c r="T57" s="99">
        <f>I53</f>
        <v>3.75</v>
      </c>
      <c r="U57" s="1"/>
    </row>
    <row r="58" spans="1:21" s="6" customFormat="1" ht="16.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48" t="s">
        <v>208</v>
      </c>
      <c r="S58" s="348"/>
      <c r="T58" s="98">
        <f>T55*0.05</f>
        <v>1.2829832020000003</v>
      </c>
      <c r="U58" s="1"/>
    </row>
    <row r="59" spans="1:21" s="6" customFormat="1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44" t="s">
        <v>196</v>
      </c>
      <c r="S59" s="344"/>
      <c r="T59" s="97">
        <f>SUM(T55:T58)</f>
        <v>31.462437163200004</v>
      </c>
      <c r="U59" s="1"/>
    </row>
    <row r="60" spans="1:21" s="6" customFormat="1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6"/>
      <c r="U60" s="1"/>
    </row>
    <row r="61" spans="1:21" s="6" customFormat="1" ht="16.5" customHeight="1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96" t="s">
        <v>197</v>
      </c>
      <c r="S61" s="96"/>
      <c r="T61" s="95">
        <v>10000</v>
      </c>
      <c r="U61" s="1"/>
    </row>
    <row r="62" spans="1:21" s="6" customFormat="1" ht="25.5" customHeight="1">
      <c r="A62" s="1"/>
      <c r="B62" s="1"/>
      <c r="C62" s="1"/>
      <c r="D62" s="1"/>
      <c r="E62" s="1"/>
      <c r="F62" s="1"/>
      <c r="G62" s="81" t="s">
        <v>158</v>
      </c>
      <c r="H62" s="1"/>
      <c r="I62" s="1"/>
      <c r="J62" s="1"/>
      <c r="K62" s="81"/>
      <c r="L62" s="80"/>
      <c r="M62" s="80"/>
      <c r="N62" s="80"/>
      <c r="O62" s="80"/>
      <c r="P62" s="80"/>
      <c r="Q62" s="80"/>
      <c r="R62" s="80"/>
      <c r="S62" s="80"/>
      <c r="T62" s="82" t="s">
        <v>198</v>
      </c>
      <c r="U62" s="1"/>
    </row>
    <row r="63" spans="1:21" s="6" customFormat="1" ht="16.5" customHeight="1">
      <c r="A63" s="1"/>
      <c r="B63" s="1"/>
      <c r="C63" s="1"/>
      <c r="D63" s="1"/>
      <c r="E63" s="1"/>
      <c r="F63" s="1"/>
      <c r="G63" s="8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s="6" customFormat="1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94" s="6" customFormat="1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94" s="6" customFormat="1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94" s="6" customFormat="1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94" s="6" customFormat="1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94" s="6" customFormat="1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94" s="6" customFormat="1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94" s="6" customFormat="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94" s="1" customFormat="1" ht="16.5" customHeight="1"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 spans="1:94" s="1" customFormat="1" ht="16.5" customHeight="1"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 spans="1:94" s="1" customFormat="1" ht="16.5" customHeight="1"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 spans="1:94" s="1" customFormat="1" ht="16.5" customHeight="1"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</row>
    <row r="76" spans="1:94" s="1" customFormat="1" ht="16.5" customHeight="1"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</row>
    <row r="77" spans="1:94" s="1" customFormat="1" ht="16.5" customHeight="1"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</row>
    <row r="78" spans="1:94" s="1" customFormat="1" ht="16.5" customHeight="1"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</row>
    <row r="79" spans="1:94" s="1" customFormat="1" ht="16.5" customHeight="1"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</row>
    <row r="80" spans="1:94" s="1" customFormat="1" ht="16.5" customHeight="1"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</row>
    <row r="81" spans="22:94" s="1" customFormat="1" ht="16.5" customHeight="1"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</row>
    <row r="82" spans="22:94" s="1" customFormat="1" ht="16.5" customHeight="1"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</row>
    <row r="83" spans="22:94" s="1" customFormat="1" ht="16.5" customHeight="1"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</row>
    <row r="84" spans="22:94" s="1" customFormat="1" ht="16.5" customHeight="1"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</row>
    <row r="85" spans="22:94" s="1" customFormat="1" ht="16.5" customHeight="1"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</row>
    <row r="86" spans="22:94" s="1" customFormat="1" ht="16.5" customHeight="1"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 spans="22:94" s="1" customFormat="1" ht="16.5" customHeight="1"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 spans="22:94" s="1" customFormat="1" ht="16.5" customHeight="1"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</row>
    <row r="89" spans="22:94" s="1" customFormat="1" ht="16.5" customHeight="1"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 spans="22:94" s="1" customFormat="1" ht="16.5" customHeight="1"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 spans="22:94" s="1" customFormat="1" ht="16.5" customHeight="1"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 spans="22:94" s="1" customFormat="1" ht="16.5" customHeight="1"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22:94" s="1" customFormat="1" ht="16.5" customHeight="1"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 spans="22:94" s="1" customFormat="1" ht="16.5" customHeight="1"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</row>
    <row r="95" spans="22:94" s="1" customFormat="1" ht="16.5" customHeight="1"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</row>
    <row r="96" spans="22:94" s="1" customFormat="1" ht="16.5" customHeight="1"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</row>
    <row r="97" spans="22:94" s="1" customFormat="1" ht="16.5" customHeight="1"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</row>
    <row r="98" spans="22:94" s="1" customFormat="1" ht="16.5" customHeight="1"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</row>
    <row r="99" spans="22:94" s="1" customFormat="1" ht="16.5" customHeight="1"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</row>
    <row r="100" spans="22:94" s="1" customFormat="1" ht="16.5" customHeight="1"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</row>
    <row r="101" spans="22:94" s="1" customFormat="1" ht="16.5" customHeight="1"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</row>
    <row r="102" spans="22:94" s="1" customFormat="1" ht="16.5" customHeight="1"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</row>
    <row r="103" spans="22:94" s="1" customFormat="1" ht="16.5" customHeight="1"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</row>
    <row r="104" spans="22:94" s="1" customFormat="1" ht="16.5" customHeight="1"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</row>
    <row r="105" spans="22:94" s="1" customFormat="1" ht="16.5" customHeight="1"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</row>
    <row r="106" spans="22:94" s="1" customFormat="1" ht="16.5" customHeight="1"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</row>
    <row r="107" spans="22:94" s="1" customFormat="1" ht="16.5" customHeight="1"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</row>
    <row r="108" spans="22:94" s="1" customFormat="1" ht="16.5" customHeight="1"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</row>
    <row r="109" spans="22:94" s="1" customFormat="1" ht="16.5" customHeight="1"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</row>
    <row r="113" spans="1:94" s="84" customFormat="1" ht="32.25" customHeight="1">
      <c r="A113" s="80"/>
      <c r="B113" s="29"/>
      <c r="C113" s="29"/>
      <c r="D113" s="29"/>
      <c r="E113" s="29"/>
      <c r="F113" s="29"/>
      <c r="G113" s="120" t="s">
        <v>158</v>
      </c>
      <c r="H113" s="29"/>
      <c r="I113" s="29"/>
      <c r="J113" s="29"/>
      <c r="K113" s="120"/>
      <c r="L113" s="121"/>
      <c r="M113" s="121"/>
      <c r="N113" s="121"/>
      <c r="O113" s="121"/>
      <c r="P113" s="121"/>
      <c r="Q113" s="121"/>
      <c r="R113" s="121"/>
      <c r="S113" s="121"/>
      <c r="T113" s="122" t="s">
        <v>199</v>
      </c>
      <c r="U113" s="80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</row>
  </sheetData>
  <mergeCells count="55">
    <mergeCell ref="B1:H3"/>
    <mergeCell ref="J1:M3"/>
    <mergeCell ref="H49:H52"/>
    <mergeCell ref="N2:O2"/>
    <mergeCell ref="P2:Q2"/>
    <mergeCell ref="K8:M8"/>
    <mergeCell ref="B4:M5"/>
    <mergeCell ref="I1:I3"/>
    <mergeCell ref="N1:O1"/>
    <mergeCell ref="P1:Q1"/>
    <mergeCell ref="N3:O3"/>
    <mergeCell ref="P3:Q3"/>
    <mergeCell ref="N4:O4"/>
    <mergeCell ref="P4:Q4"/>
    <mergeCell ref="J49:K49"/>
    <mergeCell ref="K17:M17"/>
    <mergeCell ref="T2:T5"/>
    <mergeCell ref="R2:R5"/>
    <mergeCell ref="R58:S58"/>
    <mergeCell ref="R57:S57"/>
    <mergeCell ref="N5:O5"/>
    <mergeCell ref="P5:Q5"/>
    <mergeCell ref="S2:S5"/>
    <mergeCell ref="B9:T9"/>
    <mergeCell ref="K10:M10"/>
    <mergeCell ref="K11:M11"/>
    <mergeCell ref="K12:M12"/>
    <mergeCell ref="K13:M13"/>
    <mergeCell ref="K19:M19"/>
    <mergeCell ref="K14:M14"/>
    <mergeCell ref="K15:M15"/>
    <mergeCell ref="K16:M16"/>
    <mergeCell ref="K18:M18"/>
    <mergeCell ref="R59:S59"/>
    <mergeCell ref="R55:S55"/>
    <mergeCell ref="J50:K50"/>
    <mergeCell ref="J51:K51"/>
    <mergeCell ref="J52:K52"/>
    <mergeCell ref="R56:S56"/>
    <mergeCell ref="K20:M20"/>
    <mergeCell ref="B11:B13"/>
    <mergeCell ref="B15:B16"/>
    <mergeCell ref="H11:H13"/>
    <mergeCell ref="F15:F16"/>
    <mergeCell ref="G15:G16"/>
    <mergeCell ref="H15:H16"/>
    <mergeCell ref="C11:C13"/>
    <mergeCell ref="C15:C16"/>
    <mergeCell ref="F11:F13"/>
    <mergeCell ref="G11:G13"/>
    <mergeCell ref="C17:C18"/>
    <mergeCell ref="B17:B18"/>
    <mergeCell ref="F17:F18"/>
    <mergeCell ref="G17:G18"/>
    <mergeCell ref="H17:H18"/>
  </mergeCells>
  <phoneticPr fontId="26" type="noConversion"/>
  <dataValidations disablePrompts="1" count="1">
    <dataValidation type="list" allowBlank="1" showInputMessage="1" showErrorMessage="1" sqref="S10:S46">
      <formula1>$W$4:$W$5</formula1>
    </dataValidation>
  </dataValidations>
  <pageMargins left="0.23622047244094491" right="0.23622047244094491" top="0.43307086614173229" bottom="0.19685039370078741" header="0.31496062992125984" footer="0.31496062992125984"/>
  <pageSetup paperSize="9" scale="51" fitToHeight="0" orientation="landscape" r:id="rId1"/>
  <rowBreaks count="1" manualBreakCount="1">
    <brk id="62" max="2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ffa7e64e-574f-41dc-aa39-2d028d458305">
      <UserInfo>
        <DisplayName/>
        <AccountId xsi:nil="true"/>
        <AccountType/>
      </UserInfo>
    </_ApprovalAssignedTo>
    <_ApprovalRespondedBy xmlns="ffa7e64e-574f-41dc-aa39-2d028d458305">
      <UserInfo>
        <DisplayName/>
        <AccountId xsi:nil="true"/>
        <AccountType/>
      </UserInfo>
    </_ApprovalRespondedBy>
    <_ApprovalStatus xmlns="ffa7e64e-574f-41dc-aa39-2d028d458305">0</_ApprovalStatus>
    <_ApprovalSentBy xmlns="ffa7e64e-574f-41dc-aa39-2d028d458305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B3A6EFBBC09469C3BE25A7C90AA7F" ma:contentTypeVersion="8" ma:contentTypeDescription="Create a new document." ma:contentTypeScope="" ma:versionID="6828e18fdf857e01b5832660c58927ba">
  <xsd:schema xmlns:xsd="http://www.w3.org/2001/XMLSchema" xmlns:xs="http://www.w3.org/2001/XMLSchema" xmlns:p="http://schemas.microsoft.com/office/2006/metadata/properties" xmlns:ns2="ffa7e64e-574f-41dc-aa39-2d028d458305" targetNamespace="http://schemas.microsoft.com/office/2006/metadata/properties" ma:root="true" ma:fieldsID="b04705e5b4ad2bae1cfa8b2d11571218" ns2:_="">
    <xsd:import namespace="ffa7e64e-574f-41dc-aa39-2d028d458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7e64e-574f-41dc-aa39-2d028d458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1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5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E6263D-E472-4DE6-9128-59F33094EB8F}">
  <ds:schemaRefs>
    <ds:schemaRef ds:uri="http://schemas.microsoft.com/office/2006/metadata/properties"/>
    <ds:schemaRef ds:uri="http://schemas.microsoft.com/office/infopath/2007/PartnerControls"/>
    <ds:schemaRef ds:uri="ffa7e64e-574f-41dc-aa39-2d028d458305"/>
  </ds:schemaRefs>
</ds:datastoreItem>
</file>

<file path=customXml/itemProps2.xml><?xml version="1.0" encoding="utf-8"?>
<ds:datastoreItem xmlns:ds="http://schemas.openxmlformats.org/officeDocument/2006/customXml" ds:itemID="{59377696-70B8-4FAE-BDA9-3DDB6C571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7e64e-574f-41dc-aa39-2d028d458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5952D-8A8B-454F-BA96-1756710DB8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Front Page</vt:lpstr>
      <vt:lpstr>CIRCUIT SPECIFICATION</vt:lpstr>
      <vt:lpstr>Appendix</vt:lpstr>
      <vt:lpstr>ESTIMATE COST</vt:lpstr>
      <vt:lpstr>Appendix!Print_Area</vt:lpstr>
      <vt:lpstr>'CIRCUIT SPECIFICATION'!Print_Area</vt:lpstr>
      <vt:lpstr>'ESTIMATE COST'!Print_Area</vt:lpstr>
      <vt:lpstr>'Front Page'!Print_Area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Electronic 01</dc:creator>
  <cp:keywords/>
  <dc:description/>
  <cp:lastModifiedBy>Rattakiat Chartprasert</cp:lastModifiedBy>
  <cp:revision/>
  <dcterms:created xsi:type="dcterms:W3CDTF">2016-06-17T07:22:08Z</dcterms:created>
  <dcterms:modified xsi:type="dcterms:W3CDTF">2026-10-29T06:02:50Z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0x010100129B3A6EFBBC09469C3BE25A7C90AA7F</vt:lpwstr>
  </property>
</Properties>
</file>